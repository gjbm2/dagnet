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gjbm2\dev\dagnet\param-registry\test\csv\"/>
    </mc:Choice>
  </mc:AlternateContent>
  <xr:revisionPtr revIDLastSave="0" documentId="13_ncr:1_{4808CFEE-3121-4A17-9C32-B1F755D8BA95}" xr6:coauthVersionLast="47" xr6:coauthVersionMax="47" xr10:uidLastSave="{00000000-0000-0000-0000-000000000000}"/>
  <bookViews>
    <workbookView xWindow="85020" yWindow="9036" windowWidth="47376" windowHeight="26880" activeTab="3" xr2:uid="{C8C49800-736F-45A4-9AAB-A0E7D9F8C31D}"/>
  </bookViews>
  <sheets>
    <sheet name="Runner" sheetId="4" r:id="rId1"/>
    <sheet name="Sheet1" sheetId="1" r:id="rId2"/>
    <sheet name="Sheet2" sheetId="2" r:id="rId3"/>
    <sheet name="Sheet3" sheetId="3" r:id="rId4"/>
    <sheet name="__CsvImportTemp" sheetId="5" state="veryHidden" r:id="rId5"/>
  </sheets>
  <definedNames>
    <definedName name="ExternalData_1" localSheetId="4">__CsvImportTemp!$A$1:$AA$58</definedName>
    <definedName name="ExternalData_1" localSheetId="3">Sheet3!$C$2:$Y$8</definedName>
    <definedName name="OutputDataStart">Sheet3!$C$2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2" i="2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3" i="3"/>
  <c r="V82" i="3"/>
  <c r="W82" i="3" s="1"/>
  <c r="V81" i="3"/>
  <c r="W81" i="3" s="1"/>
  <c r="A34" i="3"/>
  <c r="B4" i="2"/>
  <c r="B5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H4" i="2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3" i="2"/>
  <c r="C4" i="2"/>
  <c r="C5" i="2"/>
  <c r="C6" i="2"/>
  <c r="C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3" i="2"/>
  <c r="B3" i="2"/>
  <c r="A4" i="3"/>
  <c r="A35" i="3" l="1"/>
  <c r="A5" i="3"/>
  <c r="A36" i="3" l="1"/>
  <c r="A6" i="3"/>
  <c r="A37" i="3" l="1"/>
  <c r="A7" i="3"/>
  <c r="A38" i="3" l="1"/>
  <c r="A8" i="3"/>
  <c r="A39" i="3" l="1"/>
  <c r="A9" i="3"/>
  <c r="A40" i="3" l="1"/>
  <c r="A10" i="3"/>
  <c r="A41" i="3" l="1"/>
  <c r="A11" i="3"/>
  <c r="A42" i="3" l="1"/>
  <c r="A12" i="3"/>
  <c r="A43" i="3" l="1"/>
  <c r="A13" i="3"/>
  <c r="A44" i="3" l="1"/>
  <c r="A14" i="3"/>
  <c r="A45" i="3" l="1"/>
  <c r="A15" i="3"/>
  <c r="A46" i="3" l="1"/>
  <c r="A16" i="3"/>
  <c r="A47" i="3" l="1"/>
  <c r="A17" i="3"/>
  <c r="A48" i="3" l="1"/>
  <c r="A18" i="3"/>
  <c r="A49" i="3" l="1"/>
  <c r="A19" i="3"/>
  <c r="A50" i="3" l="1"/>
  <c r="A20" i="3"/>
  <c r="A51" i="3" l="1"/>
  <c r="A21" i="3"/>
  <c r="A52" i="3" l="1"/>
  <c r="A22" i="3"/>
  <c r="A53" i="3" l="1"/>
  <c r="A23" i="3"/>
  <c r="A54" i="3" l="1"/>
  <c r="A24" i="3"/>
  <c r="A55" i="3" l="1"/>
  <c r="A25" i="3"/>
  <c r="A56" i="3" l="1"/>
  <c r="A26" i="3"/>
  <c r="A57" i="3" l="1"/>
  <c r="A27" i="3"/>
  <c r="A58" i="3" l="1"/>
  <c r="A28" i="3"/>
  <c r="A59" i="3" l="1"/>
  <c r="A29" i="3"/>
  <c r="A30" i="3" l="1"/>
  <c r="A31" i="3" l="1"/>
  <c r="A32" i="3" l="1"/>
  <c r="A3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A42C51-C73F-4F52-8B1D-F4BB0A3B2829}" name="param-pack-output.example" type="6" refreshedVersion="7" background="1" saveData="1">
    <textPr prompt="0" sourceFile="\\wsl.localhost\Ubuntu\home\gjbm2\dev\dagnet\graph-editor\tmp\param-pack-output.example.csv" comma="1" delimiter="F">
      <textFields>
        <textField/>
      </textFields>
    </textPr>
  </connection>
  <connection id="2" xr16:uid="{6400DE6F-8F72-4F37-B9E3-B56C73D90093}" name="param-pack-output.example1" type="6" refreshedVersion="7" background="1" saveData="1">
    <textPr prompt="0" sourceFile="\\wsl.localhost\Ubuntu\home\gjbm2\dev\dagnet\graph-editor\tmp\param-pack-output.example.csv" comma="1" delimiter="F">
      <textFields>
        <textField/>
      </textFields>
    </textPr>
  </connection>
</connections>
</file>

<file path=xl/sharedStrings.xml><?xml version="1.0" encoding="utf-8"?>
<sst xmlns="http://schemas.openxmlformats.org/spreadsheetml/2006/main" count="183" uniqueCount="97">
  <si>
    <t>dsl</t>
  </si>
  <si>
    <t>as_of_date</t>
  </si>
  <si>
    <t>cohort(1-Jul-25:31-Jul-25)</t>
  </si>
  <si>
    <t>cohort(1-Aug-25:31-Aug-25)</t>
  </si>
  <si>
    <t>date</t>
  </si>
  <si>
    <t>ab_n</t>
  </si>
  <si>
    <t>ab_k</t>
  </si>
  <si>
    <t>ab_median_lag_days</t>
  </si>
  <si>
    <t>ab_mean_lag_days</t>
  </si>
  <si>
    <t>ab_t95</t>
  </si>
  <si>
    <t>ab_path_t95</t>
  </si>
  <si>
    <t>bc_n</t>
  </si>
  <si>
    <t>bc_k</t>
  </si>
  <si>
    <t>bc_median_lag_days</t>
  </si>
  <si>
    <t>bc_mean_lag_days</t>
  </si>
  <si>
    <t>bc_t95</t>
  </si>
  <si>
    <t>bc_path_t95</t>
  </si>
  <si>
    <t>e.A-B.p.evidence.mean</t>
  </si>
  <si>
    <t>e.A-B.p.evidence.stdev</t>
  </si>
  <si>
    <t>e.A-B.p.forecast.mean</t>
  </si>
  <si>
    <t>e.A-B.p.latency.completeness</t>
  </si>
  <si>
    <t>e.A-B.p.latency.median_lag_days</t>
  </si>
  <si>
    <t>e.A-B.p.latency.path_t95</t>
  </si>
  <si>
    <t>e.A-B.p.latency.t95</t>
  </si>
  <si>
    <t>e.A-B.p.mean</t>
  </si>
  <si>
    <t>e.A-B.p.stdev</t>
  </si>
  <si>
    <t>e.A-D.p.mean</t>
  </si>
  <si>
    <t>e.B-C.p.evidence.mean</t>
  </si>
  <si>
    <t>e.B-C.p.evidence.stdev</t>
  </si>
  <si>
    <t>e.B-C.p.forecast.mean</t>
  </si>
  <si>
    <t>e.B-C.p.latency.completeness</t>
  </si>
  <si>
    <t>e.B-C.p.latency.median_lag_days</t>
  </si>
  <si>
    <t>e.B-C.p.latency.path_t95</t>
  </si>
  <si>
    <t>e.B-C.p.latency.t95</t>
  </si>
  <si>
    <t>e.B-C.p.mean</t>
  </si>
  <si>
    <t>e.B-C.p.stdev</t>
  </si>
  <si>
    <t>e.B-E.p.mean</t>
  </si>
  <si>
    <t>n.A.entry.entry_weight</t>
  </si>
  <si>
    <t>cohort(2-Jul-25:1-Aug-25)</t>
  </si>
  <si>
    <t>cohort(3-Jul-25:2-Aug-25)</t>
  </si>
  <si>
    <t>cohort(4-Jul-25:3-Aug-25)</t>
  </si>
  <si>
    <t>cohort(5-Jul-25:4-Aug-25)</t>
  </si>
  <si>
    <t>cohort(6-Jul-25:5-Aug-25)</t>
  </si>
  <si>
    <t>cohort(7-Jul-25:6-Aug-25)</t>
  </si>
  <si>
    <t>cohort(8-Jul-25:7-Aug-25)</t>
  </si>
  <si>
    <t>cohort(9-Jul-25:8-Aug-25)</t>
  </si>
  <si>
    <t>cohort(10-Jul-25:9-Aug-25)</t>
  </si>
  <si>
    <t>cohort(11-Jul-25:10-Aug-25)</t>
  </si>
  <si>
    <t>cohort(12-Jul-25:11-Aug-25)</t>
  </si>
  <si>
    <t>cohort(13-Jul-25:12-Aug-25)</t>
  </si>
  <si>
    <t>cohort(14-Jul-25:13-Aug-25)</t>
  </si>
  <si>
    <t>cohort(15-Jul-25:14-Aug-25)</t>
  </si>
  <si>
    <t>cohort(16-Jul-25:15-Aug-25)</t>
  </si>
  <si>
    <t>cohort(17-Jul-25:16-Aug-25)</t>
  </si>
  <si>
    <t>cohort(18-Jul-25:17-Aug-25)</t>
  </si>
  <si>
    <t>cohort(19-Jul-25:18-Aug-25)</t>
  </si>
  <si>
    <t>cohort(20-Jul-25:19-Aug-25)</t>
  </si>
  <si>
    <t>cohort(21-Jul-25:20-Aug-25)</t>
  </si>
  <si>
    <t>cohort(22-Jul-25:21-Aug-25)</t>
  </si>
  <si>
    <t>cohort(23-Jul-25:22-Aug-25)</t>
  </si>
  <si>
    <t>cohort(24-Jul-25:23-Aug-25)</t>
  </si>
  <si>
    <t>cohort(25-Jul-25:24-Aug-25)</t>
  </si>
  <si>
    <t>cohort(26-Jul-25:25-Aug-25)</t>
  </si>
  <si>
    <t>cohort(27-Jul-25:26-Aug-25)</t>
  </si>
  <si>
    <t>cohort(28-Jul-25:27-Aug-25)</t>
  </si>
  <si>
    <t>cohort(29-Jul-25:28-Aug-25)</t>
  </si>
  <si>
    <t>cohort(30-Jul-25:29-Aug-25)</t>
  </si>
  <si>
    <t>cohort(31-Jul-25:30-Aug-25)</t>
  </si>
  <si>
    <t>cohort(2-Aug-25:31-Aug-25)</t>
  </si>
  <si>
    <t>cohort(3-Aug-25:31-Aug-25)</t>
  </si>
  <si>
    <t>cohort(4-Aug-25:31-Aug-25)</t>
  </si>
  <si>
    <t>cohort(5-Aug-25:31-Aug-25)</t>
  </si>
  <si>
    <t>cohort(6-Aug-25:31-Aug-25)</t>
  </si>
  <si>
    <t>cohort(7-Aug-25:31-Aug-25)</t>
  </si>
  <si>
    <t>cohort(8-Aug-25:31-Aug-25)</t>
  </si>
  <si>
    <t>cohort(9-Aug-25:31-Aug-25)</t>
  </si>
  <si>
    <t>cohort(10-Aug-25:31-Aug-25)</t>
  </si>
  <si>
    <t>cohort(11-Aug-25:31-Aug-25)</t>
  </si>
  <si>
    <t>cohort(12-Aug-25:31-Aug-25)</t>
  </si>
  <si>
    <t>cohort(13-Aug-25:31-Aug-25)</t>
  </si>
  <si>
    <t>cohort(14-Aug-25:31-Aug-25)</t>
  </si>
  <si>
    <t>cohort(15-Aug-25:31-Aug-25)</t>
  </si>
  <si>
    <t>cohort(16-Aug-25:31-Aug-25)</t>
  </si>
  <si>
    <t>cohort(17-Aug-25:31-Aug-25)</t>
  </si>
  <si>
    <t>cohort(18-Aug-25:31-Aug-25)</t>
  </si>
  <si>
    <t>cohort(19-Aug-25:31-Aug-25)</t>
  </si>
  <si>
    <t>cohort(20-Aug-25:31-Aug-25)</t>
  </si>
  <si>
    <t>cohort(21-Aug-25:31-Aug-25)</t>
  </si>
  <si>
    <t>cohort(22-Aug-25:31-Aug-25)</t>
  </si>
  <si>
    <t>cohort(23-Aug-25:31-Aug-25)</t>
  </si>
  <si>
    <t>cohort(24-Aug-25:31-Aug-25)</t>
  </si>
  <si>
    <t>cohort(25-Aug-25:31-Aug-25)</t>
  </si>
  <si>
    <t>cohort(26-Aug-25:31-Aug-25)</t>
  </si>
  <si>
    <t>e.A-B.p.evidence.k</t>
  </si>
  <si>
    <t>e.A-B.p.evidence.n</t>
  </si>
  <si>
    <t>e.B-C.p.evidence.k</t>
  </si>
  <si>
    <t>e.B-C.p.evidence.n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</si>
</sst>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2" borderId="0" xfId="0" applyFill="1"/>
    <xf numFmtId="15" fontId="0" fillId="2" borderId="0" xfId="0" applyNumberFormat="1" applyFill="1"/>
    <xf numFmtId="0" fontId="2" fillId="0" borderId="0" xfId="0" applyFon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e.B-C.p.evidence.mean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Sheet3!$R$3:$R$59</c:f>
              <c:numCache>
                <c:formatCode>General</c:formatCode>
                <c:ptCount val="57"/>
                <c:pt idx="0">
                  <c:v>0.24998673402505001</c:v>
                </c:pt>
                <c:pt idx="1">
                  <c:v>0.24998069624636701</c:v>
                </c:pt>
                <c:pt idx="2">
                  <c:v>0.24997170301397101</c:v>
                </c:pt>
                <c:pt idx="3">
                  <c:v>0.24995820494437501</c:v>
                </c:pt>
                <c:pt idx="4">
                  <c:v>0.249937787704857</c:v>
                </c:pt>
                <c:pt idx="5">
                  <c:v>0.24990666213457</c:v>
                </c:pt>
                <c:pt idx="6">
                  <c:v>0.24985884120288801</c:v>
                </c:pt>
                <c:pt idx="7">
                  <c:v>0.24978480811909901</c:v>
                </c:pt>
                <c:pt idx="8">
                  <c:v>0.24966936156817901</c:v>
                </c:pt>
                <c:pt idx="9">
                  <c:v>0.249488145685484</c:v>
                </c:pt>
                <c:pt idx="10">
                  <c:v>0.249202126146325</c:v>
                </c:pt>
                <c:pt idx="11">
                  <c:v>0.248748998697121</c:v>
                </c:pt>
                <c:pt idx="12">
                  <c:v>0.248030406939903</c:v>
                </c:pt>
                <c:pt idx="13">
                  <c:v>0.24689452620395999</c:v>
                </c:pt>
                <c:pt idx="14">
                  <c:v>0.24511669116398299</c:v>
                </c:pt>
                <c:pt idx="15">
                  <c:v>0.24238991648984801</c:v>
                </c:pt>
                <c:pt idx="16">
                  <c:v>0.23835768321471101</c:v>
                </c:pt>
                <c:pt idx="17">
                  <c:v>0.23274999949022099</c:v>
                </c:pt>
                <c:pt idx="18">
                  <c:v>0.225661330345509</c:v>
                </c:pt>
                <c:pt idx="19">
                  <c:v>0.217741408649537</c:v>
                </c:pt>
                <c:pt idx="20">
                  <c:v>0.20967789590039701</c:v>
                </c:pt>
                <c:pt idx="21">
                  <c:v>0.20161349791212099</c:v>
                </c:pt>
                <c:pt idx="22">
                  <c:v>0.193549145691604</c:v>
                </c:pt>
                <c:pt idx="23">
                  <c:v>0.18548485821010799</c:v>
                </c:pt>
                <c:pt idx="24">
                  <c:v>0.17742066283836699</c:v>
                </c:pt>
                <c:pt idx="25">
                  <c:v>0.169356599311143</c:v>
                </c:pt>
                <c:pt idx="26">
                  <c:v>0.16129272568240599</c:v>
                </c:pt>
                <c:pt idx="27">
                  <c:v>0.15322912733152899</c:v>
                </c:pt>
                <c:pt idx="28">
                  <c:v>0.145165930678434</c:v>
                </c:pt>
                <c:pt idx="29">
                  <c:v>0.13710332421740201</c:v>
                </c:pt>
                <c:pt idx="30">
                  <c:v>0.12904159100572701</c:v>
                </c:pt>
                <c:pt idx="31">
                  <c:v>0.120981159206022</c:v>
                </c:pt>
                <c:pt idx="32">
                  <c:v>0.116686770652608</c:v>
                </c:pt>
                <c:pt idx="33">
                  <c:v>0.11209937677626999</c:v>
                </c:pt>
                <c:pt idx="34">
                  <c:v>0.10718929957767399</c:v>
                </c:pt>
                <c:pt idx="35">
                  <c:v>0.101923457419616</c:v>
                </c:pt>
                <c:pt idx="36">
                  <c:v>9.6265318418288004E-2</c:v>
                </c:pt>
                <c:pt idx="37">
                  <c:v>9.0175230971960604E-2</c:v>
                </c:pt>
                <c:pt idx="38">
                  <c:v>8.3611494187031496E-2</c:v>
                </c:pt>
                <c:pt idx="39">
                  <c:v>7.6532816640037998E-2</c:v>
                </c:pt>
                <c:pt idx="40">
                  <c:v>6.8903299038505894E-2</c:v>
                </c:pt>
                <c:pt idx="41">
                  <c:v>6.0701872432110199E-2</c:v>
                </c:pt>
                <c:pt idx="42">
                  <c:v>5.1939322613354801E-2</c:v>
                </c:pt>
                <c:pt idx="43">
                  <c:v>4.2687528194577599E-2</c:v>
                </c:pt>
                <c:pt idx="44">
                  <c:v>3.3126425361763301E-2</c:v>
                </c:pt>
                <c:pt idx="45">
                  <c:v>2.3611115744945E-2</c:v>
                </c:pt>
                <c:pt idx="46">
                  <c:v>1.47449720446052E-2</c:v>
                </c:pt>
                <c:pt idx="47">
                  <c:v>7.3946368392455797E-3</c:v>
                </c:pt>
                <c:pt idx="48">
                  <c:v>2.4827705794581599E-3</c:v>
                </c:pt>
                <c:pt idx="49">
                  <c:v>3.4684199797300802E-4</c:v>
                </c:pt>
                <c:pt idx="50">
                  <c:v>2.37092690233882E-6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e.B-C.p.mean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Sheet3!$Z$3:$Z$59</c:f>
              <c:numCache>
                <c:formatCode>General</c:formatCode>
                <c:ptCount val="57"/>
                <c:pt idx="0">
                  <c:v>0.25040000000000001</c:v>
                </c:pt>
                <c:pt idx="1">
                  <c:v>0.2505</c:v>
                </c:pt>
                <c:pt idx="2">
                  <c:v>0.25059999999999999</c:v>
                </c:pt>
                <c:pt idx="3">
                  <c:v>0.25069999999999998</c:v>
                </c:pt>
                <c:pt idx="4">
                  <c:v>0.25090000000000001</c:v>
                </c:pt>
                <c:pt idx="5">
                  <c:v>0.25119999999999998</c:v>
                </c:pt>
                <c:pt idx="6">
                  <c:v>0.2515</c:v>
                </c:pt>
                <c:pt idx="7">
                  <c:v>0.25180000000000002</c:v>
                </c:pt>
                <c:pt idx="8">
                  <c:v>0.25219999999999998</c:v>
                </c:pt>
                <c:pt idx="9">
                  <c:v>0.25269999999999998</c:v>
                </c:pt>
                <c:pt idx="10">
                  <c:v>0.25330000000000003</c:v>
                </c:pt>
                <c:pt idx="11">
                  <c:v>0.25390000000000001</c:v>
                </c:pt>
                <c:pt idx="12">
                  <c:v>0.25459999999999999</c:v>
                </c:pt>
                <c:pt idx="13">
                  <c:v>0.25519999999999998</c:v>
                </c:pt>
                <c:pt idx="14">
                  <c:v>0.2555</c:v>
                </c:pt>
                <c:pt idx="15">
                  <c:v>0.2555</c:v>
                </c:pt>
                <c:pt idx="16">
                  <c:v>0.25490000000000002</c:v>
                </c:pt>
                <c:pt idx="17">
                  <c:v>0.2535</c:v>
                </c:pt>
                <c:pt idx="18">
                  <c:v>0.25130000000000002</c:v>
                </c:pt>
                <c:pt idx="19">
                  <c:v>0.24890000000000001</c:v>
                </c:pt>
                <c:pt idx="20">
                  <c:v>0.24679999999999999</c:v>
                </c:pt>
                <c:pt idx="21">
                  <c:v>0.245</c:v>
                </c:pt>
                <c:pt idx="22">
                  <c:v>0.24340000000000001</c:v>
                </c:pt>
                <c:pt idx="23">
                  <c:v>0.24210000000000001</c:v>
                </c:pt>
                <c:pt idx="24">
                  <c:v>0.2409</c:v>
                </c:pt>
                <c:pt idx="25">
                  <c:v>0.2399</c:v>
                </c:pt>
                <c:pt idx="26">
                  <c:v>0.23910000000000001</c:v>
                </c:pt>
                <c:pt idx="27">
                  <c:v>0.2384</c:v>
                </c:pt>
                <c:pt idx="28">
                  <c:v>0.23799999999999999</c:v>
                </c:pt>
                <c:pt idx="29">
                  <c:v>0.23769999999999999</c:v>
                </c:pt>
                <c:pt idx="30">
                  <c:v>0.23769999999999999</c:v>
                </c:pt>
                <c:pt idx="31">
                  <c:v>0.23780000000000001</c:v>
                </c:pt>
                <c:pt idx="32">
                  <c:v>0.2384</c:v>
                </c:pt>
                <c:pt idx="33">
                  <c:v>0.23910000000000001</c:v>
                </c:pt>
                <c:pt idx="34">
                  <c:v>0.23980000000000001</c:v>
                </c:pt>
                <c:pt idx="35">
                  <c:v>0.24060000000000001</c:v>
                </c:pt>
                <c:pt idx="36">
                  <c:v>0.24149999999999999</c:v>
                </c:pt>
                <c:pt idx="37">
                  <c:v>0.2424</c:v>
                </c:pt>
                <c:pt idx="38">
                  <c:v>0.24340000000000001</c:v>
                </c:pt>
                <c:pt idx="39">
                  <c:v>0.24440000000000001</c:v>
                </c:pt>
                <c:pt idx="40">
                  <c:v>0.24540000000000001</c:v>
                </c:pt>
                <c:pt idx="41">
                  <c:v>0.24640000000000001</c:v>
                </c:pt>
                <c:pt idx="42">
                  <c:v>0.24729999999999999</c:v>
                </c:pt>
                <c:pt idx="43">
                  <c:v>0.24809999999999999</c:v>
                </c:pt>
                <c:pt idx="44">
                  <c:v>0.24879999999999999</c:v>
                </c:pt>
                <c:pt idx="45">
                  <c:v>0.24929999999999999</c:v>
                </c:pt>
                <c:pt idx="46">
                  <c:v>0.24970000000000001</c:v>
                </c:pt>
                <c:pt idx="47">
                  <c:v>0.24990000000000001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D-4058-AFA1-71E0975D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635586943"/>
        <c:axId val="635581119"/>
      </c:barChart>
      <c:catAx>
        <c:axId val="63558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81119"/>
        <c:crosses val="autoZero"/>
        <c:auto val="1"/>
        <c:lblAlgn val="ctr"/>
        <c:lblOffset val="100"/>
        <c:noMultiLvlLbl val="0"/>
      </c:catAx>
      <c:valAx>
        <c:axId val="6355811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8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e.B-C.p.latency.completeness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Sheet3!$V$3:$V$59</c:f>
              <c:numCache>
                <c:formatCode>General</c:formatCode>
                <c:ptCount val="57"/>
                <c:pt idx="0">
                  <c:v>0.99701469750277705</c:v>
                </c:pt>
                <c:pt idx="1">
                  <c:v>0.99621983887344201</c:v>
                </c:pt>
                <c:pt idx="2">
                  <c:v>0.99521487894488003</c:v>
                </c:pt>
                <c:pt idx="3">
                  <c:v>0.99394605273852299</c:v>
                </c:pt>
                <c:pt idx="4">
                  <c:v>0.99234690835544104</c:v>
                </c:pt>
                <c:pt idx="5">
                  <c:v>0.99033587178321902</c:v>
                </c:pt>
                <c:pt idx="6">
                  <c:v>0.98781362676685402</c:v>
                </c:pt>
                <c:pt idx="7">
                  <c:v>0.98466045485859399</c:v>
                </c:pt>
                <c:pt idx="8">
                  <c:v>0.98073378298146896</c:v>
                </c:pt>
                <c:pt idx="9">
                  <c:v>0.97586632425536002</c:v>
                </c:pt>
                <c:pt idx="10">
                  <c:v>0.96986537367125303</c:v>
                </c:pt>
                <c:pt idx="11">
                  <c:v>0.96251402521524398</c:v>
                </c:pt>
                <c:pt idx="12">
                  <c:v>0.95357528521740698</c:v>
                </c:pt>
                <c:pt idx="13">
                  <c:v>0.94280021246309498</c:v>
                </c:pt>
                <c:pt idx="14">
                  <c:v>0.92994121941776797</c:v>
                </c:pt>
                <c:pt idx="15">
                  <c:v>0.91477136372805701</c:v>
                </c:pt>
                <c:pt idx="16">
                  <c:v>0.89710965686583499</c:v>
                </c:pt>
                <c:pt idx="17">
                  <c:v>0.87685097344442098</c:v>
                </c:pt>
                <c:pt idx="18">
                  <c:v>0.85399666839519395</c:v>
                </c:pt>
                <c:pt idx="19">
                  <c:v>0.82867930004875801</c:v>
                </c:pt>
                <c:pt idx="20">
                  <c:v>0.80117202387297304</c:v>
                </c:pt>
                <c:pt idx="21">
                  <c:v>0.77187273558689595</c:v>
                </c:pt>
                <c:pt idx="22">
                  <c:v>0.74125703975657298</c:v>
                </c:pt>
                <c:pt idx="23">
                  <c:v>0.70980472140648398</c:v>
                </c:pt>
                <c:pt idx="24">
                  <c:v>0.677920025156592</c:v>
                </c:pt>
                <c:pt idx="25">
                  <c:v>0.645877895242017</c:v>
                </c:pt>
                <c:pt idx="26">
                  <c:v>0.613821818634679</c:v>
                </c:pt>
                <c:pt idx="27">
                  <c:v>0.58180805642657796</c:v>
                </c:pt>
                <c:pt idx="28">
                  <c:v>0.54985888811082495</c:v>
                </c:pt>
                <c:pt idx="29">
                  <c:v>0.51799239175830403</c:v>
                </c:pt>
                <c:pt idx="30">
                  <c:v>0.48623056074938797</c:v>
                </c:pt>
                <c:pt idx="31">
                  <c:v>0.45460104216288399</c:v>
                </c:pt>
                <c:pt idx="32">
                  <c:v>0.43724311333789001</c:v>
                </c:pt>
                <c:pt idx="33">
                  <c:v>0.418912845404182</c:v>
                </c:pt>
                <c:pt idx="34">
                  <c:v>0.39956562759428799</c:v>
                </c:pt>
                <c:pt idx="35">
                  <c:v>0.37916481787399797</c:v>
                </c:pt>
                <c:pt idx="36">
                  <c:v>0.35768618193495699</c:v>
                </c:pt>
                <c:pt idx="37">
                  <c:v>0.33512362770896198</c:v>
                </c:pt>
                <c:pt idx="38">
                  <c:v>0.31149642606261302</c:v>
                </c:pt>
                <c:pt idx="39">
                  <c:v>0.286858036940835</c:v>
                </c:pt>
                <c:pt idx="40">
                  <c:v>0.26130650865142901</c:v>
                </c:pt>
                <c:pt idx="41">
                  <c:v>0.23499614622848899</c:v>
                </c:pt>
                <c:pt idx="42">
                  <c:v>0.20814970557651599</c:v>
                </c:pt>
                <c:pt idx="43">
                  <c:v>0.18106971769717001</c:v>
                </c:pt>
                <c:pt idx="44">
                  <c:v>0.15414665902786401</c:v>
                </c:pt>
                <c:pt idx="45">
                  <c:v>0.12786060255463899</c:v>
                </c:pt>
                <c:pt idx="46">
                  <c:v>0.102771893531538</c:v>
                </c:pt>
                <c:pt idx="47">
                  <c:v>7.9495675818515701E-2</c:v>
                </c:pt>
                <c:pt idx="48">
                  <c:v>5.8655335228276102E-2</c:v>
                </c:pt>
                <c:pt idx="49">
                  <c:v>4.0812796656481298E-2</c:v>
                </c:pt>
                <c:pt idx="50">
                  <c:v>2.6379236717747501E-2</c:v>
                </c:pt>
                <c:pt idx="51">
                  <c:v>1.5520351149803701E-2</c:v>
                </c:pt>
                <c:pt idx="52">
                  <c:v>8.0831377268856999E-3</c:v>
                </c:pt>
                <c:pt idx="53">
                  <c:v>3.5813563567802299E-3</c:v>
                </c:pt>
                <c:pt idx="54">
                  <c:v>1.2729155044876399E-3</c:v>
                </c:pt>
                <c:pt idx="55">
                  <c:v>3.3123664848067801E-4</c:v>
                </c:pt>
                <c:pt idx="56">
                  <c:v>5.4177131494442803E-5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F-4AA9-898A-0207609B6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86720239"/>
        <c:axId val="586719407"/>
      </c:barChart>
      <c:catAx>
        <c:axId val="5867202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19407"/>
        <c:crosses val="autoZero"/>
        <c:auto val="1"/>
        <c:lblAlgn val="ctr"/>
        <c:lblOffset val="100"/>
        <c:noMultiLvlLbl val="0"/>
      </c:catAx>
      <c:valAx>
        <c:axId val="58671940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2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e.A-B.p.latency.completeness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Sheet3!$J$3:$J$59</c:f>
              <c:numCache>
                <c:formatCode>General</c:formatCode>
                <c:ptCount val="57"/>
                <c:pt idx="0">
                  <c:v>0.99917122939784897</c:v>
                </c:pt>
                <c:pt idx="1">
                  <c:v>0.99898049591601401</c:v>
                </c:pt>
                <c:pt idx="2">
                  <c:v>0.99874336427473098</c:v>
                </c:pt>
                <c:pt idx="3">
                  <c:v>0.99844799794766304</c:v>
                </c:pt>
                <c:pt idx="4">
                  <c:v>0.99807942921483706</c:v>
                </c:pt>
                <c:pt idx="5">
                  <c:v>0.99761871527975798</c:v>
                </c:pt>
                <c:pt idx="6">
                  <c:v>0.99704186994107202</c:v>
                </c:pt>
                <c:pt idx="7">
                  <c:v>0.99631851596850396</c:v>
                </c:pt>
                <c:pt idx="8">
                  <c:v>0.99541019374639095</c:v>
                </c:pt>
                <c:pt idx="9">
                  <c:v>0.99426825334628099</c:v>
                </c:pt>
                <c:pt idx="10">
                  <c:v>0.99283125270018002</c:v>
                </c:pt>
                <c:pt idx="11">
                  <c:v>0.99102178881615999</c:v>
                </c:pt>
                <c:pt idx="12">
                  <c:v>0.98874271023253602</c:v>
                </c:pt>
                <c:pt idx="13">
                  <c:v>0.98587271055927395</c:v>
                </c:pt>
                <c:pt idx="14">
                  <c:v>0.98226140604710199</c:v>
                </c:pt>
                <c:pt idx="15">
                  <c:v>0.977724186203343</c:v>
                </c:pt>
                <c:pt idx="16">
                  <c:v>0.97203744001984105</c:v>
                </c:pt>
                <c:pt idx="17">
                  <c:v>0.96493525822233495</c:v>
                </c:pt>
                <c:pt idx="18">
                  <c:v>0.95610945345182696</c:v>
                </c:pt>
                <c:pt idx="19">
                  <c:v>0.94521575467835794</c:v>
                </c:pt>
                <c:pt idx="20">
                  <c:v>0.93189023565595497</c:v>
                </c:pt>
                <c:pt idx="21">
                  <c:v>0.91578104941580796</c:v>
                </c:pt>
                <c:pt idx="22">
                  <c:v>0.89660048033890805</c:v>
                </c:pt>
                <c:pt idx="23">
                  <c:v>0.87419906047282103</c:v>
                </c:pt>
                <c:pt idx="24">
                  <c:v>0.84865382543559897</c:v>
                </c:pt>
                <c:pt idx="25">
                  <c:v>0.82034299744648997</c:v>
                </c:pt>
                <c:pt idx="26">
                  <c:v>0.78995146104079095</c:v>
                </c:pt>
                <c:pt idx="27">
                  <c:v>0.75833786732887998</c:v>
                </c:pt>
                <c:pt idx="28">
                  <c:v>0.72625539093275404</c:v>
                </c:pt>
                <c:pt idx="29">
                  <c:v>0.69410173942405695</c:v>
                </c:pt>
                <c:pt idx="30">
                  <c:v>0.66196818397569002</c:v>
                </c:pt>
                <c:pt idx="31">
                  <c:v>0.62986429763095497</c:v>
                </c:pt>
                <c:pt idx="32">
                  <c:v>0.61772410694179003</c:v>
                </c:pt>
                <c:pt idx="33">
                  <c:v>0.60479636599273301</c:v>
                </c:pt>
                <c:pt idx="34">
                  <c:v>0.59100981994815105</c:v>
                </c:pt>
                <c:pt idx="35">
                  <c:v>0.57628625709483094</c:v>
                </c:pt>
                <c:pt idx="36">
                  <c:v>0.56054017809572798</c:v>
                </c:pt>
                <c:pt idx="37">
                  <c:v>0.54367866439568802</c:v>
                </c:pt>
                <c:pt idx="38">
                  <c:v>0.52560157476655101</c:v>
                </c:pt>
                <c:pt idx="39">
                  <c:v>0.506202256778568</c:v>
                </c:pt>
                <c:pt idx="40">
                  <c:v>0.48536903976435403</c:v>
                </c:pt>
                <c:pt idx="41">
                  <c:v>0.462987884041973</c:v>
                </c:pt>
                <c:pt idx="42">
                  <c:v>0.43894670448262801</c:v>
                </c:pt>
                <c:pt idx="43">
                  <c:v>0.41314207001243303</c:v>
                </c:pt>
                <c:pt idx="44">
                  <c:v>0.38548920355309602</c:v>
                </c:pt>
                <c:pt idx="45">
                  <c:v>0.355936454049953</c:v>
                </c:pt>
                <c:pt idx="46">
                  <c:v>0.32448563763176602</c:v>
                </c:pt>
                <c:pt idx="47">
                  <c:v>0.29121974217525698</c:v>
                </c:pt>
                <c:pt idx="48">
                  <c:v>0.25633924123129698</c:v>
                </c:pt>
                <c:pt idx="49">
                  <c:v>0.22020726206740501</c:v>
                </c:pt>
                <c:pt idx="50">
                  <c:v>0.18340139558956101</c:v>
                </c:pt>
                <c:pt idx="51">
                  <c:v>0.146764935782348</c:v>
                </c:pt>
                <c:pt idx="52">
                  <c:v>0.111441429310583</c:v>
                </c:pt>
                <c:pt idx="53">
                  <c:v>7.88622968062163E-2</c:v>
                </c:pt>
                <c:pt idx="54">
                  <c:v>5.0639701668858499E-2</c:v>
                </c:pt>
                <c:pt idx="55">
                  <c:v>2.8305018177006602E-2</c:v>
                </c:pt>
                <c:pt idx="56">
                  <c:v>1.2855959780664301E-2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e.B-C.p.forecast.mean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Sheet3!$U$3:$U$59</c:f>
              <c:numCache>
                <c:formatCode>General</c:formatCode>
                <c:ptCount val="5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1172818</xdr:colOff>
      <xdr:row>60</xdr:row>
      <xdr:rowOff>96078</xdr:rowOff>
    </xdr:from>
    <xdr:to>
      <xdr:col>17</xdr:col>
      <xdr:colOff>1245704</xdr:colOff>
      <xdr:row>75</xdr:row>
      <xdr:rowOff>56321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B9690E-4E97-4ED7-9A15-172C0930A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1636643</xdr:colOff>
      <xdr:row>60</xdr:row>
      <xdr:rowOff>82824</xdr:rowOff>
    </xdr:from>
    <xdr:to>
      <xdr:col>25</xdr:col>
      <xdr:colOff>397565</xdr:colOff>
      <xdr:row>75</xdr:row>
      <xdr:rowOff>43068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280AE1-5536-4880-AE4B-0C56F7299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1225827</xdr:colOff>
      <xdr:row>60</xdr:row>
      <xdr:rowOff>3315</xdr:rowOff>
    </xdr:from>
    <xdr:to>
      <xdr:col>11</xdr:col>
      <xdr:colOff>523461</xdr:colOff>
      <xdr:row>74</xdr:row>
      <xdr:rowOff>149089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D88A31A-24E7-42EE-A512-54D15A1E7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60</xdr:row>
      <xdr:rowOff>76200</xdr:rowOff>
    </xdr:from>
    <xdr:to>
      <xdr:col>8</xdr:col>
      <xdr:colOff>92765</xdr:colOff>
      <xdr:row>75</xdr:row>
      <xdr:rowOff>36443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4E2C170-986C-464F-8869-C79F2A3D6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1318589</xdr:colOff>
      <xdr:row>60</xdr:row>
      <xdr:rowOff>96078</xdr:rowOff>
    </xdr:from>
    <xdr:to>
      <xdr:col>21</xdr:col>
      <xdr:colOff>1099930</xdr:colOff>
      <xdr:row>75</xdr:row>
      <xdr:rowOff>56321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015BEE3-3D0F-4655-AB1C-1A85F1881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1152939</xdr:colOff>
      <xdr:row>76</xdr:row>
      <xdr:rowOff>86141</xdr:rowOff>
    </xdr:from>
    <xdr:to>
      <xdr:col>11</xdr:col>
      <xdr:colOff>569843</xdr:colOff>
      <xdr:row>91</xdr:row>
      <xdr:rowOff>117670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A454037-722F-43D8-9940-7E708A277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760765" y="14186454"/>
          <a:ext cx="4644887" cy="281448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615A966-ED7E-4C25-AC65-A509C6ED2FB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5AA97E6-F9B4-44B4-9B13-FC9C506DEAF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7A12F-2FFA-4BF0-B707-DDB8FC812AC4}">
  <sheetPr codeName="Sheet4"/>
  <dimension ref="A1"/>
  <sheetViews>
    <sheetView workbookViewId="0">
      <selection activeCell="E104" sqref="E104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B5CE-9DD7-493F-A1D6-E71753519195}">
  <sheetPr codeName="Sheet1"/>
  <dimension ref="A1:B58"/>
  <sheetViews>
    <sheetView workbookViewId="0">
      <selection activeCell="A3" sqref="A3"/>
    </sheetView>
  </sheetViews>
  <sheetFormatPr defaultRowHeight="14.4" x14ac:dyDescent="0.3"/>
  <cols>
    <col min="1" max="1" width="28.44140625" customWidth="1"/>
    <col min="2" max="2" width="14.664062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s="1">
        <v>45900</v>
      </c>
    </row>
    <row r="3" spans="1:2" x14ac:dyDescent="0.3">
      <c r="A3" t="s">
        <v>38</v>
      </c>
      <c r="B3" s="1">
        <v>45900</v>
      </c>
    </row>
    <row r="4" spans="1:2" x14ac:dyDescent="0.3">
      <c r="A4" t="s">
        <v>39</v>
      </c>
      <c r="B4" s="1">
        <v>45900</v>
      </c>
    </row>
    <row r="5" spans="1:2" x14ac:dyDescent="0.3">
      <c r="A5" t="s">
        <v>40</v>
      </c>
      <c r="B5" s="1">
        <v>45900</v>
      </c>
    </row>
    <row r="6" spans="1:2" x14ac:dyDescent="0.3">
      <c r="A6" t="s">
        <v>41</v>
      </c>
      <c r="B6" s="1">
        <v>45900</v>
      </c>
    </row>
    <row r="7" spans="1:2" x14ac:dyDescent="0.3">
      <c r="A7" t="s">
        <v>42</v>
      </c>
      <c r="B7" s="1">
        <v>45900</v>
      </c>
    </row>
    <row r="8" spans="1:2" x14ac:dyDescent="0.3">
      <c r="A8" t="s">
        <v>43</v>
      </c>
      <c r="B8" s="2">
        <v>45900</v>
      </c>
    </row>
    <row r="9" spans="1:2" x14ac:dyDescent="0.3">
      <c r="A9" t="s">
        <v>44</v>
      </c>
      <c r="B9" s="2">
        <v>45900</v>
      </c>
    </row>
    <row r="10" spans="1:2" x14ac:dyDescent="0.3">
      <c r="A10" t="s">
        <v>45</v>
      </c>
      <c r="B10" s="2">
        <v>45900</v>
      </c>
    </row>
    <row r="11" spans="1:2" x14ac:dyDescent="0.3">
      <c r="A11" t="s">
        <v>46</v>
      </c>
      <c r="B11" s="2">
        <v>45900</v>
      </c>
    </row>
    <row r="12" spans="1:2" x14ac:dyDescent="0.3">
      <c r="A12" t="s">
        <v>47</v>
      </c>
      <c r="B12" s="2">
        <v>45900</v>
      </c>
    </row>
    <row r="13" spans="1:2" x14ac:dyDescent="0.3">
      <c r="A13" t="s">
        <v>48</v>
      </c>
      <c r="B13" s="2">
        <v>45900</v>
      </c>
    </row>
    <row r="14" spans="1:2" x14ac:dyDescent="0.3">
      <c r="A14" t="s">
        <v>49</v>
      </c>
      <c r="B14" s="2">
        <v>45900</v>
      </c>
    </row>
    <row r="15" spans="1:2" x14ac:dyDescent="0.3">
      <c r="A15" t="s">
        <v>50</v>
      </c>
      <c r="B15" s="2">
        <v>45900</v>
      </c>
    </row>
    <row r="16" spans="1:2" x14ac:dyDescent="0.3">
      <c r="A16" t="s">
        <v>51</v>
      </c>
      <c r="B16" s="2">
        <v>45900</v>
      </c>
    </row>
    <row r="17" spans="1:2" x14ac:dyDescent="0.3">
      <c r="A17" t="s">
        <v>52</v>
      </c>
      <c r="B17" s="2">
        <v>45900</v>
      </c>
    </row>
    <row r="18" spans="1:2" x14ac:dyDescent="0.3">
      <c r="A18" t="s">
        <v>53</v>
      </c>
      <c r="B18" s="2">
        <v>45900</v>
      </c>
    </row>
    <row r="19" spans="1:2" x14ac:dyDescent="0.3">
      <c r="A19" t="s">
        <v>54</v>
      </c>
      <c r="B19" s="2">
        <v>45900</v>
      </c>
    </row>
    <row r="20" spans="1:2" x14ac:dyDescent="0.3">
      <c r="A20" t="s">
        <v>55</v>
      </c>
      <c r="B20" s="2">
        <v>45900</v>
      </c>
    </row>
    <row r="21" spans="1:2" x14ac:dyDescent="0.3">
      <c r="A21" t="s">
        <v>56</v>
      </c>
      <c r="B21" s="2">
        <v>45900</v>
      </c>
    </row>
    <row r="22" spans="1:2" x14ac:dyDescent="0.3">
      <c r="A22" t="s">
        <v>57</v>
      </c>
      <c r="B22" s="2">
        <v>45900</v>
      </c>
    </row>
    <row r="23" spans="1:2" x14ac:dyDescent="0.3">
      <c r="A23" t="s">
        <v>58</v>
      </c>
      <c r="B23" s="2">
        <v>45900</v>
      </c>
    </row>
    <row r="24" spans="1:2" x14ac:dyDescent="0.3">
      <c r="A24" t="s">
        <v>59</v>
      </c>
      <c r="B24" s="2">
        <v>45900</v>
      </c>
    </row>
    <row r="25" spans="1:2" x14ac:dyDescent="0.3">
      <c r="A25" t="s">
        <v>60</v>
      </c>
      <c r="B25" s="2">
        <v>45900</v>
      </c>
    </row>
    <row r="26" spans="1:2" x14ac:dyDescent="0.3">
      <c r="A26" t="s">
        <v>61</v>
      </c>
      <c r="B26" s="2">
        <v>45900</v>
      </c>
    </row>
    <row r="27" spans="1:2" x14ac:dyDescent="0.3">
      <c r="A27" t="s">
        <v>62</v>
      </c>
      <c r="B27" s="2">
        <v>45900</v>
      </c>
    </row>
    <row r="28" spans="1:2" x14ac:dyDescent="0.3">
      <c r="A28" t="s">
        <v>63</v>
      </c>
      <c r="B28" s="2">
        <v>45900</v>
      </c>
    </row>
    <row r="29" spans="1:2" x14ac:dyDescent="0.3">
      <c r="A29" t="s">
        <v>64</v>
      </c>
      <c r="B29" s="2">
        <v>45900</v>
      </c>
    </row>
    <row r="30" spans="1:2" x14ac:dyDescent="0.3">
      <c r="A30" t="s">
        <v>65</v>
      </c>
      <c r="B30" s="2">
        <v>45900</v>
      </c>
    </row>
    <row r="31" spans="1:2" x14ac:dyDescent="0.3">
      <c r="A31" t="s">
        <v>66</v>
      </c>
      <c r="B31" s="2">
        <v>45900</v>
      </c>
    </row>
    <row r="32" spans="1:2" x14ac:dyDescent="0.3">
      <c r="A32" t="s">
        <v>67</v>
      </c>
      <c r="B32" s="2">
        <v>45900</v>
      </c>
    </row>
    <row r="33" spans="1:2" x14ac:dyDescent="0.3">
      <c r="A33" t="s">
        <v>3</v>
      </c>
      <c r="B33" s="2">
        <v>45900</v>
      </c>
    </row>
    <row r="34" spans="1:2" x14ac:dyDescent="0.3">
      <c r="A34" t="s">
        <v>68</v>
      </c>
      <c r="B34" s="2">
        <v>45900</v>
      </c>
    </row>
    <row r="35" spans="1:2" x14ac:dyDescent="0.3">
      <c r="A35" t="s">
        <v>69</v>
      </c>
      <c r="B35" s="2">
        <v>45900</v>
      </c>
    </row>
    <row r="36" spans="1:2" x14ac:dyDescent="0.3">
      <c r="A36" t="s">
        <v>70</v>
      </c>
      <c r="B36" s="2">
        <v>45900</v>
      </c>
    </row>
    <row r="37" spans="1:2" x14ac:dyDescent="0.3">
      <c r="A37" t="s">
        <v>71</v>
      </c>
      <c r="B37" s="2">
        <v>45900</v>
      </c>
    </row>
    <row r="38" spans="1:2" x14ac:dyDescent="0.3">
      <c r="A38" t="s">
        <v>72</v>
      </c>
      <c r="B38" s="2">
        <v>45900</v>
      </c>
    </row>
    <row r="39" spans="1:2" x14ac:dyDescent="0.3">
      <c r="A39" t="s">
        <v>73</v>
      </c>
      <c r="B39" s="2">
        <v>45900</v>
      </c>
    </row>
    <row r="40" spans="1:2" x14ac:dyDescent="0.3">
      <c r="A40" t="s">
        <v>74</v>
      </c>
      <c r="B40" s="2">
        <v>45900</v>
      </c>
    </row>
    <row r="41" spans="1:2" x14ac:dyDescent="0.3">
      <c r="A41" t="s">
        <v>75</v>
      </c>
      <c r="B41" s="2">
        <v>45900</v>
      </c>
    </row>
    <row r="42" spans="1:2" x14ac:dyDescent="0.3">
      <c r="A42" t="s">
        <v>76</v>
      </c>
      <c r="B42" s="2">
        <v>45900</v>
      </c>
    </row>
    <row r="43" spans="1:2" x14ac:dyDescent="0.3">
      <c r="A43" t="s">
        <v>77</v>
      </c>
      <c r="B43" s="2">
        <v>45900</v>
      </c>
    </row>
    <row r="44" spans="1:2" x14ac:dyDescent="0.3">
      <c r="A44" t="s">
        <v>78</v>
      </c>
      <c r="B44" s="2">
        <v>45900</v>
      </c>
    </row>
    <row r="45" spans="1:2" x14ac:dyDescent="0.3">
      <c r="A45" t="s">
        <v>79</v>
      </c>
      <c r="B45" s="2">
        <v>45900</v>
      </c>
    </row>
    <row r="46" spans="1:2" x14ac:dyDescent="0.3">
      <c r="A46" t="s">
        <v>80</v>
      </c>
      <c r="B46" s="2">
        <v>45900</v>
      </c>
    </row>
    <row r="47" spans="1:2" x14ac:dyDescent="0.3">
      <c r="A47" t="s">
        <v>81</v>
      </c>
      <c r="B47" s="2">
        <v>45900</v>
      </c>
    </row>
    <row r="48" spans="1:2" x14ac:dyDescent="0.3">
      <c r="A48" t="s">
        <v>82</v>
      </c>
      <c r="B48" s="2">
        <v>45900</v>
      </c>
    </row>
    <row r="49" spans="1:2" x14ac:dyDescent="0.3">
      <c r="A49" t="s">
        <v>83</v>
      </c>
      <c r="B49" s="2">
        <v>45900</v>
      </c>
    </row>
    <row r="50" spans="1:2" x14ac:dyDescent="0.3">
      <c r="A50" t="s">
        <v>84</v>
      </c>
      <c r="B50" s="2">
        <v>45900</v>
      </c>
    </row>
    <row r="51" spans="1:2" x14ac:dyDescent="0.3">
      <c r="A51" t="s">
        <v>85</v>
      </c>
      <c r="B51" s="2">
        <v>45900</v>
      </c>
    </row>
    <row r="52" spans="1:2" x14ac:dyDescent="0.3">
      <c r="A52" t="s">
        <v>86</v>
      </c>
      <c r="B52" s="2">
        <v>45900</v>
      </c>
    </row>
    <row r="53" spans="1:2" x14ac:dyDescent="0.3">
      <c r="A53" t="s">
        <v>87</v>
      </c>
      <c r="B53" s="2">
        <v>45900</v>
      </c>
    </row>
    <row r="54" spans="1:2" x14ac:dyDescent="0.3">
      <c r="A54" t="s">
        <v>88</v>
      </c>
      <c r="B54" s="2">
        <v>45900</v>
      </c>
    </row>
    <row r="55" spans="1:2" x14ac:dyDescent="0.3">
      <c r="A55" t="s">
        <v>89</v>
      </c>
      <c r="B55" s="2">
        <v>45900</v>
      </c>
    </row>
    <row r="56" spans="1:2" x14ac:dyDescent="0.3">
      <c r="A56" t="s">
        <v>90</v>
      </c>
      <c r="B56" s="2">
        <v>45900</v>
      </c>
    </row>
    <row r="57" spans="1:2" x14ac:dyDescent="0.3">
      <c r="A57" t="s">
        <v>91</v>
      </c>
      <c r="B57" s="2">
        <v>45900</v>
      </c>
    </row>
    <row r="58" spans="1:2" x14ac:dyDescent="0.3">
      <c r="A58" t="s">
        <v>92</v>
      </c>
      <c r="B58" s="2">
        <v>45900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6A064-E900-4ACA-935E-B432097AADDB}">
  <sheetPr codeName="Sheet2"/>
  <dimension ref="A1:M63"/>
  <sheetViews>
    <sheetView workbookViewId="0">
      <selection activeCell="J46" sqref="J46"/>
    </sheetView>
  </sheetViews>
  <sheetFormatPr defaultRowHeight="14.4" x14ac:dyDescent="0.3"/>
  <cols>
    <col min="1" max="1" width="10.5546875" bestFit="1" customWidth="1"/>
    <col min="2" max="2" width="5" bestFit="1" customWidth="1"/>
    <col min="3" max="3" width="4.88671875" bestFit="1" customWidth="1"/>
    <col min="4" max="4" width="18.21875" bestFit="1" customWidth="1"/>
    <col min="5" max="5" width="16.6640625" bestFit="1" customWidth="1"/>
    <col min="6" max="6" width="6.6640625" bestFit="1" customWidth="1"/>
    <col min="7" max="7" width="11.33203125" bestFit="1" customWidth="1"/>
    <col min="8" max="8" width="4.88671875" bestFit="1" customWidth="1"/>
    <col min="9" max="9" width="4.77734375" bestFit="1" customWidth="1"/>
    <col min="10" max="10" width="18.109375" bestFit="1" customWidth="1"/>
    <col min="11" max="11" width="16.5546875" bestFit="1" customWidth="1"/>
    <col min="12" max="12" width="6.5546875" bestFit="1" customWidth="1"/>
    <col min="13" max="13" width="11.21875" bestFit="1" customWidth="1"/>
  </cols>
  <sheetData>
    <row r="1" spans="1:13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</row>
    <row r="2" spans="1:13" x14ac:dyDescent="0.3">
      <c r="A2" s="2">
        <v>45839</v>
      </c>
      <c r="B2">
        <v>200</v>
      </c>
      <c r="C2">
        <v>100</v>
      </c>
      <c r="D2">
        <v>10</v>
      </c>
      <c r="E2">
        <f>D2*1.1</f>
        <v>11</v>
      </c>
      <c r="H2">
        <v>100</v>
      </c>
      <c r="I2">
        <v>25</v>
      </c>
      <c r="J2">
        <v>5</v>
      </c>
      <c r="K2">
        <f>J2*1.1</f>
        <v>5.5</v>
      </c>
    </row>
    <row r="3" spans="1:13" x14ac:dyDescent="0.3">
      <c r="A3" s="2">
        <v>45840</v>
      </c>
      <c r="B3">
        <f>B2</f>
        <v>200</v>
      </c>
      <c r="C3">
        <f>C2</f>
        <v>100</v>
      </c>
      <c r="D3">
        <v>10</v>
      </c>
      <c r="E3">
        <f t="shared" ref="E3:E63" si="0">D3*1.1</f>
        <v>11</v>
      </c>
      <c r="H3">
        <f>H2</f>
        <v>100</v>
      </c>
      <c r="I3">
        <v>25</v>
      </c>
      <c r="J3">
        <v>5</v>
      </c>
      <c r="K3">
        <f t="shared" ref="K3:K63" si="1">J3*1.1</f>
        <v>5.5</v>
      </c>
    </row>
    <row r="4" spans="1:13" x14ac:dyDescent="0.3">
      <c r="A4" s="2">
        <v>45841</v>
      </c>
      <c r="B4">
        <f t="shared" ref="B4:B63" si="2">B3</f>
        <v>200</v>
      </c>
      <c r="C4">
        <f t="shared" ref="C4:C63" si="3">C3</f>
        <v>100</v>
      </c>
      <c r="D4">
        <v>10</v>
      </c>
      <c r="E4">
        <f t="shared" si="0"/>
        <v>11</v>
      </c>
      <c r="H4">
        <f t="shared" ref="H4:H63" si="4">H3</f>
        <v>100</v>
      </c>
      <c r="I4">
        <v>25</v>
      </c>
      <c r="J4">
        <v>5</v>
      </c>
      <c r="K4">
        <f t="shared" si="1"/>
        <v>5.5</v>
      </c>
    </row>
    <row r="5" spans="1:13" x14ac:dyDescent="0.3">
      <c r="A5" s="2">
        <v>45842</v>
      </c>
      <c r="B5">
        <f t="shared" si="2"/>
        <v>200</v>
      </c>
      <c r="C5">
        <f t="shared" si="3"/>
        <v>100</v>
      </c>
      <c r="D5">
        <v>10</v>
      </c>
      <c r="E5">
        <f t="shared" si="0"/>
        <v>11</v>
      </c>
      <c r="H5">
        <f t="shared" si="4"/>
        <v>100</v>
      </c>
      <c r="I5">
        <v>25</v>
      </c>
      <c r="J5">
        <v>5</v>
      </c>
      <c r="K5">
        <f t="shared" si="1"/>
        <v>5.5</v>
      </c>
    </row>
    <row r="6" spans="1:13" x14ac:dyDescent="0.3">
      <c r="A6" s="2">
        <v>45843</v>
      </c>
      <c r="B6">
        <f t="shared" si="2"/>
        <v>200</v>
      </c>
      <c r="C6">
        <f t="shared" si="3"/>
        <v>100</v>
      </c>
      <c r="D6">
        <v>10</v>
      </c>
      <c r="E6">
        <f t="shared" si="0"/>
        <v>11</v>
      </c>
      <c r="H6">
        <f t="shared" si="4"/>
        <v>100</v>
      </c>
      <c r="I6">
        <v>25</v>
      </c>
      <c r="J6">
        <v>5</v>
      </c>
      <c r="K6">
        <f t="shared" si="1"/>
        <v>5.5</v>
      </c>
    </row>
    <row r="7" spans="1:13" x14ac:dyDescent="0.3">
      <c r="A7" s="2">
        <v>45844</v>
      </c>
      <c r="B7">
        <f t="shared" si="2"/>
        <v>200</v>
      </c>
      <c r="C7">
        <f t="shared" si="3"/>
        <v>100</v>
      </c>
      <c r="D7">
        <v>10</v>
      </c>
      <c r="E7">
        <f t="shared" si="0"/>
        <v>11</v>
      </c>
      <c r="H7">
        <f t="shared" si="4"/>
        <v>100</v>
      </c>
      <c r="I7">
        <v>25</v>
      </c>
      <c r="J7">
        <v>5</v>
      </c>
      <c r="K7">
        <f t="shared" si="1"/>
        <v>5.5</v>
      </c>
    </row>
    <row r="8" spans="1:13" x14ac:dyDescent="0.3">
      <c r="A8" s="2">
        <v>45845</v>
      </c>
      <c r="B8">
        <f t="shared" si="2"/>
        <v>200</v>
      </c>
      <c r="C8">
        <f t="shared" si="3"/>
        <v>100</v>
      </c>
      <c r="D8">
        <v>10</v>
      </c>
      <c r="E8">
        <f t="shared" si="0"/>
        <v>11</v>
      </c>
      <c r="H8">
        <f t="shared" si="4"/>
        <v>100</v>
      </c>
      <c r="I8">
        <v>25</v>
      </c>
      <c r="J8">
        <v>5</v>
      </c>
      <c r="K8">
        <f t="shared" si="1"/>
        <v>5.5</v>
      </c>
    </row>
    <row r="9" spans="1:13" x14ac:dyDescent="0.3">
      <c r="A9" s="2">
        <v>45846</v>
      </c>
      <c r="B9">
        <f t="shared" si="2"/>
        <v>200</v>
      </c>
      <c r="C9">
        <f t="shared" si="3"/>
        <v>100</v>
      </c>
      <c r="D9">
        <v>10</v>
      </c>
      <c r="E9">
        <f t="shared" si="0"/>
        <v>11</v>
      </c>
      <c r="H9">
        <f t="shared" si="4"/>
        <v>100</v>
      </c>
      <c r="I9">
        <v>25</v>
      </c>
      <c r="J9">
        <v>5</v>
      </c>
      <c r="K9">
        <f t="shared" si="1"/>
        <v>5.5</v>
      </c>
    </row>
    <row r="10" spans="1:13" x14ac:dyDescent="0.3">
      <c r="A10" s="2">
        <v>45847</v>
      </c>
      <c r="B10">
        <f t="shared" si="2"/>
        <v>200</v>
      </c>
      <c r="C10">
        <f t="shared" si="3"/>
        <v>100</v>
      </c>
      <c r="D10">
        <v>10</v>
      </c>
      <c r="E10">
        <f t="shared" si="0"/>
        <v>11</v>
      </c>
      <c r="H10">
        <f t="shared" si="4"/>
        <v>100</v>
      </c>
      <c r="I10">
        <v>25</v>
      </c>
      <c r="J10">
        <v>5</v>
      </c>
      <c r="K10">
        <f t="shared" si="1"/>
        <v>5.5</v>
      </c>
    </row>
    <row r="11" spans="1:13" x14ac:dyDescent="0.3">
      <c r="A11" s="2">
        <v>45848</v>
      </c>
      <c r="B11">
        <f t="shared" si="2"/>
        <v>200</v>
      </c>
      <c r="C11">
        <f t="shared" si="3"/>
        <v>100</v>
      </c>
      <c r="D11">
        <v>10</v>
      </c>
      <c r="E11">
        <f t="shared" si="0"/>
        <v>11</v>
      </c>
      <c r="H11">
        <f t="shared" si="4"/>
        <v>100</v>
      </c>
      <c r="I11">
        <v>25</v>
      </c>
      <c r="J11">
        <v>5</v>
      </c>
      <c r="K11">
        <f t="shared" si="1"/>
        <v>5.5</v>
      </c>
    </row>
    <row r="12" spans="1:13" x14ac:dyDescent="0.3">
      <c r="A12" s="2">
        <v>45849</v>
      </c>
      <c r="B12">
        <f t="shared" si="2"/>
        <v>200</v>
      </c>
      <c r="C12">
        <f t="shared" si="3"/>
        <v>100</v>
      </c>
      <c r="D12">
        <v>10</v>
      </c>
      <c r="E12">
        <f t="shared" si="0"/>
        <v>11</v>
      </c>
      <c r="H12">
        <f t="shared" si="4"/>
        <v>100</v>
      </c>
      <c r="I12">
        <v>25</v>
      </c>
      <c r="J12">
        <v>5</v>
      </c>
      <c r="K12">
        <f t="shared" si="1"/>
        <v>5.5</v>
      </c>
    </row>
    <row r="13" spans="1:13" x14ac:dyDescent="0.3">
      <c r="A13" s="2">
        <v>45850</v>
      </c>
      <c r="B13">
        <f t="shared" si="2"/>
        <v>200</v>
      </c>
      <c r="C13">
        <f t="shared" si="3"/>
        <v>100</v>
      </c>
      <c r="D13">
        <v>10</v>
      </c>
      <c r="E13">
        <f t="shared" si="0"/>
        <v>11</v>
      </c>
      <c r="H13">
        <f t="shared" si="4"/>
        <v>100</v>
      </c>
      <c r="I13">
        <v>25</v>
      </c>
      <c r="J13">
        <v>5</v>
      </c>
      <c r="K13">
        <f t="shared" si="1"/>
        <v>5.5</v>
      </c>
    </row>
    <row r="14" spans="1:13" x14ac:dyDescent="0.3">
      <c r="A14" s="2">
        <v>45851</v>
      </c>
      <c r="B14">
        <f t="shared" si="2"/>
        <v>200</v>
      </c>
      <c r="C14">
        <f t="shared" si="3"/>
        <v>100</v>
      </c>
      <c r="D14">
        <v>10</v>
      </c>
      <c r="E14">
        <f t="shared" si="0"/>
        <v>11</v>
      </c>
      <c r="H14">
        <f t="shared" si="4"/>
        <v>100</v>
      </c>
      <c r="I14">
        <v>25</v>
      </c>
      <c r="J14">
        <v>5</v>
      </c>
      <c r="K14">
        <f t="shared" si="1"/>
        <v>5.5</v>
      </c>
    </row>
    <row r="15" spans="1:13" x14ac:dyDescent="0.3">
      <c r="A15" s="2">
        <v>45852</v>
      </c>
      <c r="B15">
        <f t="shared" si="2"/>
        <v>200</v>
      </c>
      <c r="C15">
        <f t="shared" si="3"/>
        <v>100</v>
      </c>
      <c r="D15">
        <v>10</v>
      </c>
      <c r="E15">
        <f t="shared" si="0"/>
        <v>11</v>
      </c>
      <c r="H15">
        <f t="shared" si="4"/>
        <v>100</v>
      </c>
      <c r="I15">
        <v>25</v>
      </c>
      <c r="J15">
        <v>5</v>
      </c>
      <c r="K15">
        <f t="shared" si="1"/>
        <v>5.5</v>
      </c>
    </row>
    <row r="16" spans="1:13" x14ac:dyDescent="0.3">
      <c r="A16" s="2">
        <v>45853</v>
      </c>
      <c r="B16">
        <f t="shared" si="2"/>
        <v>200</v>
      </c>
      <c r="C16">
        <f t="shared" si="3"/>
        <v>100</v>
      </c>
      <c r="D16">
        <v>10</v>
      </c>
      <c r="E16">
        <f t="shared" si="0"/>
        <v>11</v>
      </c>
      <c r="H16">
        <f t="shared" si="4"/>
        <v>100</v>
      </c>
      <c r="I16">
        <v>25</v>
      </c>
      <c r="J16">
        <v>5</v>
      </c>
      <c r="K16">
        <f t="shared" si="1"/>
        <v>5.5</v>
      </c>
    </row>
    <row r="17" spans="1:11" x14ac:dyDescent="0.3">
      <c r="A17" s="2">
        <v>45854</v>
      </c>
      <c r="B17">
        <f t="shared" si="2"/>
        <v>200</v>
      </c>
      <c r="C17">
        <f t="shared" si="3"/>
        <v>100</v>
      </c>
      <c r="D17">
        <v>10</v>
      </c>
      <c r="E17">
        <f t="shared" si="0"/>
        <v>11</v>
      </c>
      <c r="H17">
        <f t="shared" si="4"/>
        <v>100</v>
      </c>
      <c r="I17">
        <v>25</v>
      </c>
      <c r="J17">
        <v>5</v>
      </c>
      <c r="K17">
        <f t="shared" si="1"/>
        <v>5.5</v>
      </c>
    </row>
    <row r="18" spans="1:11" x14ac:dyDescent="0.3">
      <c r="A18" s="2">
        <v>45855</v>
      </c>
      <c r="B18">
        <f t="shared" si="2"/>
        <v>200</v>
      </c>
      <c r="C18">
        <f t="shared" si="3"/>
        <v>100</v>
      </c>
      <c r="D18">
        <v>10</v>
      </c>
      <c r="E18">
        <f t="shared" si="0"/>
        <v>11</v>
      </c>
      <c r="H18">
        <f t="shared" si="4"/>
        <v>100</v>
      </c>
      <c r="I18">
        <v>25</v>
      </c>
      <c r="J18">
        <v>5</v>
      </c>
      <c r="K18">
        <f t="shared" si="1"/>
        <v>5.5</v>
      </c>
    </row>
    <row r="19" spans="1:11" x14ac:dyDescent="0.3">
      <c r="A19" s="2">
        <v>45856</v>
      </c>
      <c r="B19">
        <f t="shared" si="2"/>
        <v>200</v>
      </c>
      <c r="C19">
        <f t="shared" si="3"/>
        <v>100</v>
      </c>
      <c r="D19">
        <v>10</v>
      </c>
      <c r="E19">
        <f t="shared" si="0"/>
        <v>11</v>
      </c>
      <c r="H19">
        <f t="shared" si="4"/>
        <v>100</v>
      </c>
      <c r="I19">
        <v>25</v>
      </c>
      <c r="J19">
        <v>5</v>
      </c>
      <c r="K19">
        <f t="shared" si="1"/>
        <v>5.5</v>
      </c>
    </row>
    <row r="20" spans="1:11" x14ac:dyDescent="0.3">
      <c r="A20" s="2">
        <v>45857</v>
      </c>
      <c r="B20">
        <f t="shared" si="2"/>
        <v>200</v>
      </c>
      <c r="C20">
        <f t="shared" si="3"/>
        <v>100</v>
      </c>
      <c r="D20">
        <v>10</v>
      </c>
      <c r="E20">
        <f t="shared" si="0"/>
        <v>11</v>
      </c>
      <c r="H20">
        <f t="shared" si="4"/>
        <v>100</v>
      </c>
      <c r="I20">
        <v>25</v>
      </c>
      <c r="J20">
        <v>5</v>
      </c>
      <c r="K20">
        <f t="shared" si="1"/>
        <v>5.5</v>
      </c>
    </row>
    <row r="21" spans="1:11" x14ac:dyDescent="0.3">
      <c r="A21" s="2">
        <v>45858</v>
      </c>
      <c r="B21">
        <f t="shared" si="2"/>
        <v>200</v>
      </c>
      <c r="C21">
        <f t="shared" si="3"/>
        <v>100</v>
      </c>
      <c r="D21">
        <v>10</v>
      </c>
      <c r="E21">
        <f t="shared" si="0"/>
        <v>11</v>
      </c>
      <c r="H21">
        <f t="shared" si="4"/>
        <v>100</v>
      </c>
      <c r="I21">
        <v>25</v>
      </c>
      <c r="J21">
        <v>5</v>
      </c>
      <c r="K21">
        <f t="shared" si="1"/>
        <v>5.5</v>
      </c>
    </row>
    <row r="22" spans="1:11" x14ac:dyDescent="0.3">
      <c r="A22" s="2">
        <v>45859</v>
      </c>
      <c r="B22">
        <f t="shared" si="2"/>
        <v>200</v>
      </c>
      <c r="C22">
        <f t="shared" si="3"/>
        <v>100</v>
      </c>
      <c r="D22">
        <v>10</v>
      </c>
      <c r="E22">
        <f t="shared" si="0"/>
        <v>11</v>
      </c>
      <c r="H22">
        <f t="shared" si="4"/>
        <v>100</v>
      </c>
      <c r="I22">
        <v>25</v>
      </c>
      <c r="J22">
        <v>5</v>
      </c>
      <c r="K22">
        <f t="shared" si="1"/>
        <v>5.5</v>
      </c>
    </row>
    <row r="23" spans="1:11" x14ac:dyDescent="0.3">
      <c r="A23" s="2">
        <v>45860</v>
      </c>
      <c r="B23">
        <f t="shared" si="2"/>
        <v>200</v>
      </c>
      <c r="C23">
        <f t="shared" si="3"/>
        <v>100</v>
      </c>
      <c r="D23">
        <v>10</v>
      </c>
      <c r="E23">
        <f t="shared" si="0"/>
        <v>11</v>
      </c>
      <c r="H23">
        <f t="shared" si="4"/>
        <v>100</v>
      </c>
      <c r="I23">
        <v>25</v>
      </c>
      <c r="J23">
        <v>5</v>
      </c>
      <c r="K23">
        <f t="shared" si="1"/>
        <v>5.5</v>
      </c>
    </row>
    <row r="24" spans="1:11" x14ac:dyDescent="0.3">
      <c r="A24" s="2">
        <v>45861</v>
      </c>
      <c r="B24">
        <f t="shared" si="2"/>
        <v>200</v>
      </c>
      <c r="C24">
        <f t="shared" si="3"/>
        <v>100</v>
      </c>
      <c r="D24">
        <v>10</v>
      </c>
      <c r="E24">
        <f t="shared" si="0"/>
        <v>11</v>
      </c>
      <c r="H24">
        <f t="shared" si="4"/>
        <v>100</v>
      </c>
      <c r="I24">
        <v>25</v>
      </c>
      <c r="J24">
        <v>5</v>
      </c>
      <c r="K24">
        <f t="shared" si="1"/>
        <v>5.5</v>
      </c>
    </row>
    <row r="25" spans="1:11" x14ac:dyDescent="0.3">
      <c r="A25" s="2">
        <v>45862</v>
      </c>
      <c r="B25">
        <f t="shared" si="2"/>
        <v>200</v>
      </c>
      <c r="C25">
        <f t="shared" si="3"/>
        <v>100</v>
      </c>
      <c r="D25">
        <v>10</v>
      </c>
      <c r="E25">
        <f t="shared" si="0"/>
        <v>11</v>
      </c>
      <c r="H25">
        <f t="shared" si="4"/>
        <v>100</v>
      </c>
      <c r="I25">
        <v>25</v>
      </c>
      <c r="J25">
        <v>5</v>
      </c>
      <c r="K25">
        <f t="shared" si="1"/>
        <v>5.5</v>
      </c>
    </row>
    <row r="26" spans="1:11" x14ac:dyDescent="0.3">
      <c r="A26" s="2">
        <v>45863</v>
      </c>
      <c r="B26">
        <f t="shared" si="2"/>
        <v>200</v>
      </c>
      <c r="C26">
        <f t="shared" si="3"/>
        <v>100</v>
      </c>
      <c r="D26">
        <v>10</v>
      </c>
      <c r="E26">
        <f t="shared" si="0"/>
        <v>11</v>
      </c>
      <c r="H26">
        <f t="shared" si="4"/>
        <v>100</v>
      </c>
      <c r="I26">
        <v>25</v>
      </c>
      <c r="J26">
        <v>5</v>
      </c>
      <c r="K26">
        <f t="shared" si="1"/>
        <v>5.5</v>
      </c>
    </row>
    <row r="27" spans="1:11" x14ac:dyDescent="0.3">
      <c r="A27" s="2">
        <v>45864</v>
      </c>
      <c r="B27">
        <f t="shared" si="2"/>
        <v>200</v>
      </c>
      <c r="C27">
        <f t="shared" si="3"/>
        <v>100</v>
      </c>
      <c r="D27">
        <v>10</v>
      </c>
      <c r="E27">
        <f t="shared" si="0"/>
        <v>11</v>
      </c>
      <c r="H27">
        <f t="shared" si="4"/>
        <v>100</v>
      </c>
      <c r="I27">
        <v>25</v>
      </c>
      <c r="J27">
        <v>5</v>
      </c>
      <c r="K27">
        <f t="shared" si="1"/>
        <v>5.5</v>
      </c>
    </row>
    <row r="28" spans="1:11" x14ac:dyDescent="0.3">
      <c r="A28" s="2">
        <v>45865</v>
      </c>
      <c r="B28">
        <f t="shared" si="2"/>
        <v>200</v>
      </c>
      <c r="C28">
        <f t="shared" si="3"/>
        <v>100</v>
      </c>
      <c r="D28">
        <v>10</v>
      </c>
      <c r="E28">
        <f t="shared" si="0"/>
        <v>11</v>
      </c>
      <c r="H28">
        <f t="shared" si="4"/>
        <v>100</v>
      </c>
      <c r="I28">
        <v>25</v>
      </c>
      <c r="J28">
        <v>5</v>
      </c>
      <c r="K28">
        <f t="shared" si="1"/>
        <v>5.5</v>
      </c>
    </row>
    <row r="29" spans="1:11" x14ac:dyDescent="0.3">
      <c r="A29" s="2">
        <v>45866</v>
      </c>
      <c r="B29">
        <f t="shared" si="2"/>
        <v>200</v>
      </c>
      <c r="C29">
        <f t="shared" si="3"/>
        <v>100</v>
      </c>
      <c r="D29">
        <v>10</v>
      </c>
      <c r="E29">
        <f t="shared" si="0"/>
        <v>11</v>
      </c>
      <c r="H29">
        <f t="shared" si="4"/>
        <v>100</v>
      </c>
      <c r="I29">
        <v>25</v>
      </c>
      <c r="J29">
        <v>5</v>
      </c>
      <c r="K29">
        <f t="shared" si="1"/>
        <v>5.5</v>
      </c>
    </row>
    <row r="30" spans="1:11" x14ac:dyDescent="0.3">
      <c r="A30" s="2">
        <v>45867</v>
      </c>
      <c r="B30">
        <f t="shared" si="2"/>
        <v>200</v>
      </c>
      <c r="C30">
        <f t="shared" si="3"/>
        <v>100</v>
      </c>
      <c r="D30">
        <v>10</v>
      </c>
      <c r="E30">
        <f t="shared" si="0"/>
        <v>11</v>
      </c>
      <c r="H30">
        <f t="shared" si="4"/>
        <v>100</v>
      </c>
      <c r="I30">
        <v>25</v>
      </c>
      <c r="J30">
        <v>5</v>
      </c>
      <c r="K30">
        <f t="shared" si="1"/>
        <v>5.5</v>
      </c>
    </row>
    <row r="31" spans="1:11" x14ac:dyDescent="0.3">
      <c r="A31" s="2">
        <v>45868</v>
      </c>
      <c r="B31">
        <f t="shared" si="2"/>
        <v>200</v>
      </c>
      <c r="C31">
        <f t="shared" si="3"/>
        <v>100</v>
      </c>
      <c r="D31">
        <v>10</v>
      </c>
      <c r="E31">
        <f t="shared" si="0"/>
        <v>11</v>
      </c>
      <c r="H31">
        <f t="shared" si="4"/>
        <v>100</v>
      </c>
      <c r="I31">
        <v>25</v>
      </c>
      <c r="J31">
        <v>5</v>
      </c>
      <c r="K31">
        <f t="shared" si="1"/>
        <v>5.5</v>
      </c>
    </row>
    <row r="32" spans="1:11" x14ac:dyDescent="0.3">
      <c r="A32" s="2">
        <v>45869</v>
      </c>
      <c r="B32">
        <f t="shared" si="2"/>
        <v>200</v>
      </c>
      <c r="C32">
        <f t="shared" si="3"/>
        <v>100</v>
      </c>
      <c r="D32">
        <v>10</v>
      </c>
      <c r="E32">
        <f t="shared" si="0"/>
        <v>11</v>
      </c>
      <c r="H32">
        <f t="shared" si="4"/>
        <v>100</v>
      </c>
      <c r="I32">
        <v>25</v>
      </c>
      <c r="J32">
        <v>5</v>
      </c>
      <c r="K32">
        <f t="shared" si="1"/>
        <v>5.5</v>
      </c>
    </row>
    <row r="33" spans="1:11" x14ac:dyDescent="0.3">
      <c r="A33" s="2">
        <v>45870</v>
      </c>
      <c r="B33">
        <f t="shared" si="2"/>
        <v>200</v>
      </c>
      <c r="C33">
        <f t="shared" si="3"/>
        <v>100</v>
      </c>
      <c r="D33">
        <v>10</v>
      </c>
      <c r="E33">
        <f t="shared" si="0"/>
        <v>11</v>
      </c>
      <c r="H33">
        <f t="shared" si="4"/>
        <v>100</v>
      </c>
      <c r="I33">
        <v>25</v>
      </c>
      <c r="J33">
        <v>5</v>
      </c>
      <c r="K33">
        <f t="shared" si="1"/>
        <v>5.5</v>
      </c>
    </row>
    <row r="34" spans="1:11" x14ac:dyDescent="0.3">
      <c r="A34" s="2">
        <v>45871</v>
      </c>
      <c r="B34">
        <f t="shared" si="2"/>
        <v>200</v>
      </c>
      <c r="C34">
        <f t="shared" si="3"/>
        <v>100</v>
      </c>
      <c r="D34">
        <v>10</v>
      </c>
      <c r="E34">
        <f t="shared" si="0"/>
        <v>11</v>
      </c>
      <c r="H34">
        <f t="shared" si="4"/>
        <v>100</v>
      </c>
      <c r="I34">
        <v>25</v>
      </c>
      <c r="J34">
        <v>5</v>
      </c>
      <c r="K34">
        <f t="shared" si="1"/>
        <v>5.5</v>
      </c>
    </row>
    <row r="35" spans="1:11" x14ac:dyDescent="0.3">
      <c r="A35" s="2">
        <v>45872</v>
      </c>
      <c r="B35">
        <f t="shared" si="2"/>
        <v>200</v>
      </c>
      <c r="C35">
        <f t="shared" si="3"/>
        <v>100</v>
      </c>
      <c r="D35">
        <v>10</v>
      </c>
      <c r="E35">
        <f t="shared" si="0"/>
        <v>11</v>
      </c>
      <c r="H35">
        <f t="shared" si="4"/>
        <v>100</v>
      </c>
      <c r="I35">
        <v>25</v>
      </c>
      <c r="J35">
        <v>5</v>
      </c>
      <c r="K35">
        <f t="shared" si="1"/>
        <v>5.5</v>
      </c>
    </row>
    <row r="36" spans="1:11" x14ac:dyDescent="0.3">
      <c r="A36" s="2">
        <v>45873</v>
      </c>
      <c r="B36">
        <f t="shared" si="2"/>
        <v>200</v>
      </c>
      <c r="C36">
        <f t="shared" si="3"/>
        <v>100</v>
      </c>
      <c r="D36">
        <v>10</v>
      </c>
      <c r="E36">
        <f t="shared" si="0"/>
        <v>11</v>
      </c>
      <c r="H36">
        <f t="shared" si="4"/>
        <v>100</v>
      </c>
      <c r="I36">
        <v>25</v>
      </c>
      <c r="J36">
        <v>5</v>
      </c>
      <c r="K36">
        <f t="shared" si="1"/>
        <v>5.5</v>
      </c>
    </row>
    <row r="37" spans="1:11" x14ac:dyDescent="0.3">
      <c r="A37" s="2">
        <v>45874</v>
      </c>
      <c r="B37">
        <f t="shared" si="2"/>
        <v>200</v>
      </c>
      <c r="C37">
        <f t="shared" si="3"/>
        <v>100</v>
      </c>
      <c r="D37">
        <v>10</v>
      </c>
      <c r="E37">
        <f t="shared" si="0"/>
        <v>11</v>
      </c>
      <c r="H37">
        <f t="shared" si="4"/>
        <v>100</v>
      </c>
      <c r="I37">
        <v>25</v>
      </c>
      <c r="J37">
        <v>5</v>
      </c>
      <c r="K37">
        <f t="shared" si="1"/>
        <v>5.5</v>
      </c>
    </row>
    <row r="38" spans="1:11" x14ac:dyDescent="0.3">
      <c r="A38" s="2">
        <v>45875</v>
      </c>
      <c r="B38">
        <f t="shared" si="2"/>
        <v>200</v>
      </c>
      <c r="C38">
        <f t="shared" si="3"/>
        <v>100</v>
      </c>
      <c r="D38">
        <v>10</v>
      </c>
      <c r="E38">
        <f t="shared" si="0"/>
        <v>11</v>
      </c>
      <c r="H38">
        <f t="shared" si="4"/>
        <v>100</v>
      </c>
      <c r="I38">
        <v>25</v>
      </c>
      <c r="J38">
        <v>5</v>
      </c>
      <c r="K38">
        <f t="shared" si="1"/>
        <v>5.5</v>
      </c>
    </row>
    <row r="39" spans="1:11" x14ac:dyDescent="0.3">
      <c r="A39" s="2">
        <v>45876</v>
      </c>
      <c r="B39">
        <f t="shared" si="2"/>
        <v>200</v>
      </c>
      <c r="C39">
        <f t="shared" si="3"/>
        <v>100</v>
      </c>
      <c r="D39">
        <v>10</v>
      </c>
      <c r="E39">
        <f t="shared" si="0"/>
        <v>11</v>
      </c>
      <c r="H39">
        <f t="shared" si="4"/>
        <v>100</v>
      </c>
      <c r="I39">
        <v>25</v>
      </c>
      <c r="J39">
        <v>5</v>
      </c>
      <c r="K39">
        <f t="shared" si="1"/>
        <v>5.5</v>
      </c>
    </row>
    <row r="40" spans="1:11" x14ac:dyDescent="0.3">
      <c r="A40" s="2">
        <v>45877</v>
      </c>
      <c r="B40">
        <f t="shared" si="2"/>
        <v>200</v>
      </c>
      <c r="C40">
        <f t="shared" si="3"/>
        <v>100</v>
      </c>
      <c r="D40">
        <v>10</v>
      </c>
      <c r="E40">
        <f t="shared" si="0"/>
        <v>11</v>
      </c>
      <c r="H40">
        <f t="shared" si="4"/>
        <v>100</v>
      </c>
      <c r="I40">
        <v>25</v>
      </c>
      <c r="J40">
        <v>5</v>
      </c>
      <c r="K40">
        <f t="shared" si="1"/>
        <v>5.5</v>
      </c>
    </row>
    <row r="41" spans="1:11" x14ac:dyDescent="0.3">
      <c r="A41" s="2">
        <v>45878</v>
      </c>
      <c r="B41">
        <f t="shared" si="2"/>
        <v>200</v>
      </c>
      <c r="C41">
        <f t="shared" si="3"/>
        <v>100</v>
      </c>
      <c r="D41">
        <v>10</v>
      </c>
      <c r="E41">
        <f t="shared" si="0"/>
        <v>11</v>
      </c>
      <c r="H41">
        <f t="shared" si="4"/>
        <v>100</v>
      </c>
      <c r="I41">
        <v>25</v>
      </c>
      <c r="J41">
        <v>5</v>
      </c>
      <c r="K41">
        <f t="shared" si="1"/>
        <v>5.5</v>
      </c>
    </row>
    <row r="42" spans="1:11" x14ac:dyDescent="0.3">
      <c r="A42" s="2">
        <v>45879</v>
      </c>
      <c r="B42">
        <f t="shared" si="2"/>
        <v>200</v>
      </c>
      <c r="C42">
        <f t="shared" si="3"/>
        <v>100</v>
      </c>
      <c r="D42">
        <v>10</v>
      </c>
      <c r="E42">
        <f t="shared" si="0"/>
        <v>11</v>
      </c>
      <c r="H42">
        <f t="shared" si="4"/>
        <v>100</v>
      </c>
      <c r="I42">
        <v>25</v>
      </c>
      <c r="J42">
        <v>5</v>
      </c>
      <c r="K42">
        <f t="shared" si="1"/>
        <v>5.5</v>
      </c>
    </row>
    <row r="43" spans="1:11" x14ac:dyDescent="0.3">
      <c r="A43" s="2">
        <v>45880</v>
      </c>
      <c r="B43">
        <f t="shared" si="2"/>
        <v>200</v>
      </c>
      <c r="C43">
        <f t="shared" si="3"/>
        <v>100</v>
      </c>
      <c r="D43">
        <v>10</v>
      </c>
      <c r="E43">
        <f t="shared" si="0"/>
        <v>11</v>
      </c>
      <c r="H43">
        <f t="shared" si="4"/>
        <v>100</v>
      </c>
      <c r="I43">
        <v>25</v>
      </c>
      <c r="J43">
        <v>5</v>
      </c>
      <c r="K43">
        <f t="shared" si="1"/>
        <v>5.5</v>
      </c>
    </row>
    <row r="44" spans="1:11" x14ac:dyDescent="0.3">
      <c r="A44" s="2">
        <v>45881</v>
      </c>
      <c r="B44">
        <f t="shared" si="2"/>
        <v>200</v>
      </c>
      <c r="C44">
        <f t="shared" si="3"/>
        <v>100</v>
      </c>
      <c r="D44">
        <v>10</v>
      </c>
      <c r="E44">
        <f t="shared" si="0"/>
        <v>11</v>
      </c>
      <c r="H44">
        <f t="shared" si="4"/>
        <v>100</v>
      </c>
      <c r="I44">
        <v>25</v>
      </c>
      <c r="J44">
        <v>5</v>
      </c>
      <c r="K44">
        <f t="shared" si="1"/>
        <v>5.5</v>
      </c>
    </row>
    <row r="45" spans="1:11" x14ac:dyDescent="0.3">
      <c r="A45" s="2">
        <v>45882</v>
      </c>
      <c r="B45">
        <f t="shared" si="2"/>
        <v>200</v>
      </c>
      <c r="C45">
        <f t="shared" si="3"/>
        <v>100</v>
      </c>
      <c r="D45">
        <v>10</v>
      </c>
      <c r="E45">
        <f t="shared" si="0"/>
        <v>11</v>
      </c>
      <c r="H45">
        <f t="shared" si="4"/>
        <v>100</v>
      </c>
      <c r="I45">
        <v>25</v>
      </c>
      <c r="J45">
        <v>5</v>
      </c>
      <c r="K45">
        <f t="shared" si="1"/>
        <v>5.5</v>
      </c>
    </row>
    <row r="46" spans="1:11" x14ac:dyDescent="0.3">
      <c r="A46" s="2">
        <v>45883</v>
      </c>
      <c r="B46">
        <f t="shared" si="2"/>
        <v>200</v>
      </c>
      <c r="C46">
        <f t="shared" si="3"/>
        <v>100</v>
      </c>
      <c r="D46">
        <v>10</v>
      </c>
      <c r="E46">
        <f t="shared" si="0"/>
        <v>11</v>
      </c>
      <c r="H46">
        <f t="shared" si="4"/>
        <v>100</v>
      </c>
      <c r="I46">
        <v>25</v>
      </c>
      <c r="J46">
        <v>5</v>
      </c>
      <c r="K46">
        <f t="shared" si="1"/>
        <v>5.5</v>
      </c>
    </row>
    <row r="47" spans="1:11" x14ac:dyDescent="0.3">
      <c r="A47" s="2">
        <v>45884</v>
      </c>
      <c r="B47">
        <f t="shared" si="2"/>
        <v>200</v>
      </c>
      <c r="C47">
        <f t="shared" si="3"/>
        <v>100</v>
      </c>
      <c r="D47">
        <v>10</v>
      </c>
      <c r="E47">
        <f t="shared" si="0"/>
        <v>11</v>
      </c>
      <c r="H47">
        <f t="shared" si="4"/>
        <v>100</v>
      </c>
      <c r="I47">
        <v>25</v>
      </c>
      <c r="J47">
        <v>5</v>
      </c>
      <c r="K47">
        <f t="shared" si="1"/>
        <v>5.5</v>
      </c>
    </row>
    <row r="48" spans="1:11" x14ac:dyDescent="0.3">
      <c r="A48" s="2">
        <v>45885</v>
      </c>
      <c r="B48">
        <f t="shared" si="2"/>
        <v>200</v>
      </c>
      <c r="C48">
        <f t="shared" si="3"/>
        <v>100</v>
      </c>
      <c r="D48">
        <v>10</v>
      </c>
      <c r="E48">
        <f t="shared" si="0"/>
        <v>11</v>
      </c>
      <c r="H48">
        <f t="shared" si="4"/>
        <v>100</v>
      </c>
      <c r="I48">
        <v>25</v>
      </c>
      <c r="J48">
        <v>5</v>
      </c>
      <c r="K48">
        <f t="shared" si="1"/>
        <v>5.5</v>
      </c>
    </row>
    <row r="49" spans="1:11" x14ac:dyDescent="0.3">
      <c r="A49" s="2">
        <v>45886</v>
      </c>
      <c r="B49">
        <f t="shared" si="2"/>
        <v>200</v>
      </c>
      <c r="C49">
        <f t="shared" si="3"/>
        <v>100</v>
      </c>
      <c r="D49">
        <v>10</v>
      </c>
      <c r="E49">
        <f t="shared" si="0"/>
        <v>11</v>
      </c>
      <c r="H49">
        <f t="shared" si="4"/>
        <v>100</v>
      </c>
      <c r="I49">
        <v>25</v>
      </c>
      <c r="J49">
        <v>5</v>
      </c>
      <c r="K49">
        <f t="shared" si="1"/>
        <v>5.5</v>
      </c>
    </row>
    <row r="50" spans="1:11" x14ac:dyDescent="0.3">
      <c r="A50" s="2">
        <v>45887</v>
      </c>
      <c r="B50">
        <f t="shared" si="2"/>
        <v>200</v>
      </c>
      <c r="C50">
        <f t="shared" si="3"/>
        <v>100</v>
      </c>
      <c r="D50">
        <v>10</v>
      </c>
      <c r="E50">
        <f t="shared" si="0"/>
        <v>11</v>
      </c>
      <c r="H50">
        <f t="shared" si="4"/>
        <v>100</v>
      </c>
      <c r="I50">
        <v>25</v>
      </c>
      <c r="J50">
        <v>5</v>
      </c>
      <c r="K50">
        <f t="shared" si="1"/>
        <v>5.5</v>
      </c>
    </row>
    <row r="51" spans="1:11" x14ac:dyDescent="0.3">
      <c r="A51" s="2">
        <v>45888</v>
      </c>
      <c r="B51">
        <f t="shared" si="2"/>
        <v>200</v>
      </c>
      <c r="C51">
        <f t="shared" si="3"/>
        <v>100</v>
      </c>
      <c r="D51">
        <v>10</v>
      </c>
      <c r="E51">
        <f t="shared" si="0"/>
        <v>11</v>
      </c>
      <c r="H51">
        <f t="shared" si="4"/>
        <v>100</v>
      </c>
      <c r="I51">
        <v>25</v>
      </c>
      <c r="J51">
        <v>5</v>
      </c>
      <c r="K51">
        <f t="shared" si="1"/>
        <v>5.5</v>
      </c>
    </row>
    <row r="52" spans="1:11" x14ac:dyDescent="0.3">
      <c r="A52" s="2">
        <v>45889</v>
      </c>
      <c r="B52">
        <f t="shared" si="2"/>
        <v>200</v>
      </c>
      <c r="C52">
        <f t="shared" si="3"/>
        <v>100</v>
      </c>
      <c r="D52">
        <v>10</v>
      </c>
      <c r="E52">
        <f t="shared" si="0"/>
        <v>11</v>
      </c>
      <c r="H52">
        <f t="shared" si="4"/>
        <v>100</v>
      </c>
      <c r="I52">
        <v>25</v>
      </c>
      <c r="J52">
        <v>5</v>
      </c>
      <c r="K52">
        <f t="shared" si="1"/>
        <v>5.5</v>
      </c>
    </row>
    <row r="53" spans="1:11" x14ac:dyDescent="0.3">
      <c r="A53" s="2">
        <v>45890</v>
      </c>
      <c r="B53">
        <f t="shared" si="2"/>
        <v>200</v>
      </c>
      <c r="C53">
        <f t="shared" si="3"/>
        <v>100</v>
      </c>
      <c r="D53">
        <v>10</v>
      </c>
      <c r="E53">
        <f t="shared" si="0"/>
        <v>11</v>
      </c>
      <c r="H53">
        <f t="shared" si="4"/>
        <v>100</v>
      </c>
      <c r="I53">
        <v>25</v>
      </c>
      <c r="J53">
        <v>5</v>
      </c>
      <c r="K53">
        <f t="shared" si="1"/>
        <v>5.5</v>
      </c>
    </row>
    <row r="54" spans="1:11" x14ac:dyDescent="0.3">
      <c r="A54" s="2">
        <v>45891</v>
      </c>
      <c r="B54">
        <f t="shared" si="2"/>
        <v>200</v>
      </c>
      <c r="C54">
        <f t="shared" si="3"/>
        <v>100</v>
      </c>
      <c r="D54">
        <v>10</v>
      </c>
      <c r="E54">
        <f t="shared" si="0"/>
        <v>11</v>
      </c>
      <c r="H54">
        <f t="shared" si="4"/>
        <v>100</v>
      </c>
      <c r="I54">
        <v>25</v>
      </c>
      <c r="J54">
        <v>5</v>
      </c>
      <c r="K54">
        <f t="shared" si="1"/>
        <v>5.5</v>
      </c>
    </row>
    <row r="55" spans="1:11" x14ac:dyDescent="0.3">
      <c r="A55" s="2">
        <v>45892</v>
      </c>
      <c r="B55">
        <f t="shared" si="2"/>
        <v>200</v>
      </c>
      <c r="C55">
        <f t="shared" si="3"/>
        <v>100</v>
      </c>
      <c r="D55">
        <v>10</v>
      </c>
      <c r="E55">
        <f t="shared" si="0"/>
        <v>11</v>
      </c>
      <c r="H55">
        <f t="shared" si="4"/>
        <v>100</v>
      </c>
      <c r="I55">
        <v>25</v>
      </c>
      <c r="J55">
        <v>5</v>
      </c>
      <c r="K55">
        <f t="shared" si="1"/>
        <v>5.5</v>
      </c>
    </row>
    <row r="56" spans="1:11" x14ac:dyDescent="0.3">
      <c r="A56" s="2">
        <v>45893</v>
      </c>
      <c r="B56">
        <f t="shared" si="2"/>
        <v>200</v>
      </c>
      <c r="C56">
        <f t="shared" si="3"/>
        <v>100</v>
      </c>
      <c r="D56">
        <v>10</v>
      </c>
      <c r="E56">
        <f t="shared" si="0"/>
        <v>11</v>
      </c>
      <c r="H56">
        <f t="shared" si="4"/>
        <v>100</v>
      </c>
      <c r="I56">
        <v>25</v>
      </c>
      <c r="J56">
        <v>5</v>
      </c>
      <c r="K56">
        <f t="shared" si="1"/>
        <v>5.5</v>
      </c>
    </row>
    <row r="57" spans="1:11" x14ac:dyDescent="0.3">
      <c r="A57" s="2">
        <v>45894</v>
      </c>
      <c r="B57">
        <f t="shared" si="2"/>
        <v>200</v>
      </c>
      <c r="C57">
        <f t="shared" si="3"/>
        <v>100</v>
      </c>
      <c r="D57">
        <v>10</v>
      </c>
      <c r="E57">
        <f t="shared" si="0"/>
        <v>11</v>
      </c>
      <c r="H57">
        <f t="shared" si="4"/>
        <v>100</v>
      </c>
      <c r="I57">
        <v>25</v>
      </c>
      <c r="J57">
        <v>5</v>
      </c>
      <c r="K57">
        <f t="shared" si="1"/>
        <v>5.5</v>
      </c>
    </row>
    <row r="58" spans="1:11" x14ac:dyDescent="0.3">
      <c r="A58" s="2">
        <v>45895</v>
      </c>
      <c r="B58">
        <f t="shared" si="2"/>
        <v>200</v>
      </c>
      <c r="C58">
        <f t="shared" si="3"/>
        <v>100</v>
      </c>
      <c r="D58">
        <v>10</v>
      </c>
      <c r="E58">
        <f t="shared" si="0"/>
        <v>11</v>
      </c>
      <c r="H58">
        <f t="shared" si="4"/>
        <v>100</v>
      </c>
      <c r="I58">
        <v>25</v>
      </c>
      <c r="J58">
        <v>5</v>
      </c>
      <c r="K58">
        <f t="shared" si="1"/>
        <v>5.5</v>
      </c>
    </row>
    <row r="59" spans="1:11" x14ac:dyDescent="0.3">
      <c r="A59" s="2">
        <v>45896</v>
      </c>
      <c r="B59">
        <f t="shared" si="2"/>
        <v>200</v>
      </c>
      <c r="C59">
        <f t="shared" si="3"/>
        <v>100</v>
      </c>
      <c r="D59">
        <v>10</v>
      </c>
      <c r="E59">
        <f t="shared" si="0"/>
        <v>11</v>
      </c>
      <c r="H59">
        <f t="shared" si="4"/>
        <v>100</v>
      </c>
      <c r="I59">
        <v>25</v>
      </c>
      <c r="J59">
        <v>5</v>
      </c>
      <c r="K59">
        <f t="shared" si="1"/>
        <v>5.5</v>
      </c>
    </row>
    <row r="60" spans="1:11" x14ac:dyDescent="0.3">
      <c r="A60" s="2">
        <v>45897</v>
      </c>
      <c r="B60">
        <f t="shared" si="2"/>
        <v>200</v>
      </c>
      <c r="C60">
        <f t="shared" si="3"/>
        <v>100</v>
      </c>
      <c r="D60">
        <v>10</v>
      </c>
      <c r="E60">
        <f t="shared" si="0"/>
        <v>11</v>
      </c>
      <c r="H60">
        <f t="shared" si="4"/>
        <v>100</v>
      </c>
      <c r="I60">
        <v>25</v>
      </c>
      <c r="J60">
        <v>5</v>
      </c>
      <c r="K60">
        <f t="shared" si="1"/>
        <v>5.5</v>
      </c>
    </row>
    <row r="61" spans="1:11" x14ac:dyDescent="0.3">
      <c r="A61" s="2">
        <v>45898</v>
      </c>
      <c r="B61">
        <f t="shared" si="2"/>
        <v>200</v>
      </c>
      <c r="C61">
        <f t="shared" si="3"/>
        <v>100</v>
      </c>
      <c r="D61">
        <v>10</v>
      </c>
      <c r="E61">
        <f t="shared" si="0"/>
        <v>11</v>
      </c>
      <c r="H61">
        <f t="shared" si="4"/>
        <v>100</v>
      </c>
      <c r="I61">
        <v>25</v>
      </c>
      <c r="J61">
        <v>5</v>
      </c>
      <c r="K61">
        <f t="shared" si="1"/>
        <v>5.5</v>
      </c>
    </row>
    <row r="62" spans="1:11" x14ac:dyDescent="0.3">
      <c r="A62" s="2">
        <v>45899</v>
      </c>
      <c r="B62">
        <f t="shared" si="2"/>
        <v>200</v>
      </c>
      <c r="C62">
        <f t="shared" si="3"/>
        <v>100</v>
      </c>
      <c r="D62">
        <v>10</v>
      </c>
      <c r="E62">
        <f t="shared" si="0"/>
        <v>11</v>
      </c>
      <c r="H62">
        <f t="shared" si="4"/>
        <v>100</v>
      </c>
      <c r="I62">
        <v>25</v>
      </c>
      <c r="J62">
        <v>5</v>
      </c>
      <c r="K62">
        <f t="shared" si="1"/>
        <v>5.5</v>
      </c>
    </row>
    <row r="63" spans="1:11" x14ac:dyDescent="0.3">
      <c r="A63" s="2">
        <v>45900</v>
      </c>
      <c r="B63">
        <f t="shared" si="2"/>
        <v>200</v>
      </c>
      <c r="C63">
        <f t="shared" si="3"/>
        <v>100</v>
      </c>
      <c r="D63">
        <v>10</v>
      </c>
      <c r="E63">
        <f t="shared" si="0"/>
        <v>11</v>
      </c>
      <c r="H63">
        <f t="shared" si="4"/>
        <v>100</v>
      </c>
      <c r="I63">
        <v>25</v>
      </c>
      <c r="J63">
        <v>5</v>
      </c>
      <c r="K63">
        <f t="shared" si="1"/>
        <v>5.5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1E368-7CE7-480A-B3BC-59C34A77CA1B}">
  <sheetPr codeName="Sheet3"/>
  <dimension ref="A2:AC82"/>
  <sheetViews>
    <sheetView tabSelected="1" topLeftCell="H22" zoomScale="115" zoomScaleNormal="115" workbookViewId="0">
      <selection activeCell="T81" sqref="T81"/>
    </sheetView>
  </sheetViews>
  <sheetFormatPr defaultRowHeight="14.4" x14ac:dyDescent="0.3"/>
  <cols>
    <col min="1" max="1" width="9.44140625" bestFit="1" customWidth="1"/>
    <col min="3" max="3" width="25.5546875" bestFit="1" customWidth="1"/>
    <col min="4" max="4" width="10.33203125" bestFit="1" customWidth="1"/>
    <col min="5" max="5" width="17" bestFit="1" customWidth="1"/>
    <col min="6" max="6" width="20.88671875" bestFit="1" customWidth="1"/>
    <col min="7" max="7" width="17.21875" bestFit="1" customWidth="1"/>
    <col min="8" max="8" width="20.6640625" bestFit="1" customWidth="1"/>
    <col min="9" max="9" width="20.109375" bestFit="1" customWidth="1"/>
    <col min="10" max="10" width="26.44140625" bestFit="1" customWidth="1"/>
    <col min="11" max="11" width="29.6640625" bestFit="1" customWidth="1"/>
    <col min="12" max="12" width="22.33203125" bestFit="1" customWidth="1"/>
    <col min="13" max="13" width="17.33203125" bestFit="1" customWidth="1"/>
    <col min="14" max="15" width="12.5546875" bestFit="1" customWidth="1"/>
    <col min="16" max="16" width="12.6640625" bestFit="1" customWidth="1"/>
    <col min="17" max="17" width="16.88671875" bestFit="1" customWidth="1"/>
    <col min="18" max="18" width="20.77734375" bestFit="1" customWidth="1"/>
    <col min="19" max="19" width="17" bestFit="1" customWidth="1"/>
    <col min="20" max="20" width="20.5546875" bestFit="1" customWidth="1"/>
    <col min="21" max="21" width="20" bestFit="1" customWidth="1"/>
    <col min="22" max="22" width="26.33203125" bestFit="1" customWidth="1"/>
    <col min="23" max="23" width="29.5546875" bestFit="1" customWidth="1"/>
    <col min="24" max="24" width="22.21875" bestFit="1" customWidth="1"/>
    <col min="25" max="25" width="17.21875" bestFit="1" customWidth="1"/>
    <col min="26" max="26" width="12.109375" bestFit="1" customWidth="1"/>
    <col min="27" max="27" width="12.5546875" bestFit="1" customWidth="1"/>
    <col min="28" max="28" width="12" bestFit="1" customWidth="1"/>
    <col min="29" max="29" width="20" bestFit="1" customWidth="1"/>
  </cols>
  <sheetData>
    <row r="2" spans="1:29" x14ac:dyDescent="0.3">
      <c r="C2" s="5" t="s">
        <v>0</v>
      </c>
      <c r="D2" s="5" t="s">
        <v>1</v>
      </c>
      <c r="E2" s="5" t="s">
        <v>93</v>
      </c>
      <c r="F2" s="5" t="s">
        <v>17</v>
      </c>
      <c r="G2" s="5" t="s">
        <v>94</v>
      </c>
      <c r="H2" s="5" t="s">
        <v>18</v>
      </c>
      <c r="I2" s="5" t="s">
        <v>19</v>
      </c>
      <c r="J2" s="5" t="s">
        <v>20</v>
      </c>
      <c r="K2" s="5" t="s">
        <v>21</v>
      </c>
      <c r="L2" s="5" t="s">
        <v>22</v>
      </c>
      <c r="M2" s="5" t="s">
        <v>23</v>
      </c>
      <c r="N2" s="5" t="s">
        <v>24</v>
      </c>
      <c r="O2" s="5" t="s">
        <v>25</v>
      </c>
      <c r="P2" s="5" t="s">
        <v>26</v>
      </c>
      <c r="Q2" s="5" t="s">
        <v>95</v>
      </c>
      <c r="R2" s="5" t="s">
        <v>27</v>
      </c>
      <c r="S2" s="5" t="s">
        <v>96</v>
      </c>
      <c r="T2" s="5" t="s">
        <v>28</v>
      </c>
      <c r="U2" s="5" t="s">
        <v>29</v>
      </c>
      <c r="V2" s="5" t="s">
        <v>30</v>
      </c>
      <c r="W2" s="5" t="s">
        <v>31</v>
      </c>
      <c r="X2" s="5" t="s">
        <v>32</v>
      </c>
      <c r="Y2" s="5" t="s">
        <v>33</v>
      </c>
      <c r="Z2" s="5" t="s">
        <v>34</v>
      </c>
      <c r="AA2" s="5" t="s">
        <v>35</v>
      </c>
      <c r="AB2" s="5" t="s">
        <v>36</v>
      </c>
      <c r="AC2" s="5" t="s">
        <v>37</v>
      </c>
    </row>
    <row r="3" spans="1:29" x14ac:dyDescent="0.3">
      <c r="A3" s="1">
        <v>45839</v>
      </c>
      <c r="C3" s="3" t="str">
        <f>"cohort("&amp;TEXT(A3,"d-mmm-yy")&amp;":"&amp;TEXT(MIN(A3+30,$D$3),"d-mmm-yy")&amp;")"</f>
        <v>cohort(1-Jul-25:31-Jul-25)</v>
      </c>
      <c r="D3" s="4">
        <v>45900</v>
      </c>
      <c r="E3">
        <v>3100</v>
      </c>
      <c r="F3">
        <v>0.5</v>
      </c>
      <c r="G3">
        <v>6200</v>
      </c>
      <c r="H3">
        <v>6.3500063500095197E-3</v>
      </c>
      <c r="I3">
        <v>0.5</v>
      </c>
      <c r="J3">
        <v>0.99917122939784897</v>
      </c>
      <c r="K3">
        <v>10</v>
      </c>
      <c r="L3">
        <v>20.51</v>
      </c>
      <c r="M3">
        <v>20.51</v>
      </c>
      <c r="N3">
        <v>0.5</v>
      </c>
      <c r="O3">
        <v>6.3500063500095197E-3</v>
      </c>
      <c r="P3">
        <v>0.5</v>
      </c>
      <c r="Q3">
        <v>774.95887547765699</v>
      </c>
      <c r="R3">
        <v>0.24998673402505001</v>
      </c>
      <c r="S3">
        <v>3100</v>
      </c>
      <c r="T3">
        <v>7.7770001438596699E-3</v>
      </c>
      <c r="U3">
        <v>0.25</v>
      </c>
      <c r="V3">
        <v>0.99701469750277705</v>
      </c>
      <c r="W3">
        <v>4.9999999999999902</v>
      </c>
      <c r="X3">
        <v>26.97</v>
      </c>
      <c r="Y3">
        <v>10.25</v>
      </c>
      <c r="Z3">
        <v>0.25040000000000001</v>
      </c>
      <c r="AA3">
        <v>7.7771377104781797E-3</v>
      </c>
      <c r="AB3">
        <v>0.74960000000000004</v>
      </c>
      <c r="AC3">
        <v>1</v>
      </c>
    </row>
    <row r="4" spans="1:29" x14ac:dyDescent="0.3">
      <c r="A4" s="1">
        <f>A3+1</f>
        <v>45840</v>
      </c>
      <c r="C4" s="3" t="str">
        <f t="shared" ref="C4:C59" si="0">"cohort("&amp;TEXT(A4,"d-mmm-yy")&amp;":"&amp;TEXT(MIN(A4+30,$D$3),"d-mmm-yy")&amp;")"</f>
        <v>cohort(2-Jul-25:1-Aug-25)</v>
      </c>
      <c r="D4" s="4">
        <v>45900</v>
      </c>
      <c r="E4">
        <v>3100</v>
      </c>
      <c r="F4">
        <v>0.5</v>
      </c>
      <c r="G4">
        <v>6200</v>
      </c>
      <c r="H4">
        <v>6.3500063500095197E-3</v>
      </c>
      <c r="I4">
        <v>0.5</v>
      </c>
      <c r="J4">
        <v>0.99898049591601401</v>
      </c>
      <c r="K4">
        <v>10</v>
      </c>
      <c r="L4">
        <v>20.51</v>
      </c>
      <c r="M4">
        <v>20.51</v>
      </c>
      <c r="N4">
        <v>0.5</v>
      </c>
      <c r="O4">
        <v>6.3500063500095197E-3</v>
      </c>
      <c r="P4">
        <v>0.5</v>
      </c>
      <c r="Q4">
        <v>774.94015836374001</v>
      </c>
      <c r="R4">
        <v>0.24998069624636701</v>
      </c>
      <c r="S4">
        <v>3100</v>
      </c>
      <c r="T4">
        <v>7.7769375295733698E-3</v>
      </c>
      <c r="U4">
        <v>0.25</v>
      </c>
      <c r="V4">
        <v>0.99621983887344201</v>
      </c>
      <c r="W4">
        <v>4.9999999999999902</v>
      </c>
      <c r="X4">
        <v>26.97</v>
      </c>
      <c r="Y4">
        <v>10.25</v>
      </c>
      <c r="Z4">
        <v>0.2505</v>
      </c>
      <c r="AA4">
        <v>7.7771377104781797E-3</v>
      </c>
      <c r="AB4">
        <v>0.74950000000000006</v>
      </c>
      <c r="AC4">
        <v>1</v>
      </c>
    </row>
    <row r="5" spans="1:29" x14ac:dyDescent="0.3">
      <c r="A5" s="1">
        <f t="shared" ref="A5:A8" si="1">A4+1</f>
        <v>45841</v>
      </c>
      <c r="C5" s="3" t="str">
        <f t="shared" si="0"/>
        <v>cohort(3-Jul-25:2-Aug-25)</v>
      </c>
      <c r="D5" s="4">
        <v>45900</v>
      </c>
      <c r="E5">
        <v>3100</v>
      </c>
      <c r="F5">
        <v>0.5</v>
      </c>
      <c r="G5">
        <v>6200</v>
      </c>
      <c r="H5">
        <v>6.3500063500095197E-3</v>
      </c>
      <c r="I5">
        <v>0.5</v>
      </c>
      <c r="J5">
        <v>0.99874336427473098</v>
      </c>
      <c r="K5">
        <v>10</v>
      </c>
      <c r="L5">
        <v>20.51</v>
      </c>
      <c r="M5">
        <v>20.51</v>
      </c>
      <c r="N5">
        <v>0.5</v>
      </c>
      <c r="O5">
        <v>6.3500063500095197E-3</v>
      </c>
      <c r="P5">
        <v>0.5</v>
      </c>
      <c r="Q5">
        <v>774.91227934331198</v>
      </c>
      <c r="R5">
        <v>0.24997170301397101</v>
      </c>
      <c r="S5">
        <v>3100</v>
      </c>
      <c r="T5">
        <v>7.77684426225964E-3</v>
      </c>
      <c r="U5">
        <v>0.25</v>
      </c>
      <c r="V5">
        <v>0.99521487894488003</v>
      </c>
      <c r="W5">
        <v>4.9999999999999902</v>
      </c>
      <c r="X5">
        <v>26.97</v>
      </c>
      <c r="Y5">
        <v>10.25</v>
      </c>
      <c r="Z5">
        <v>0.25059999999999999</v>
      </c>
      <c r="AA5">
        <v>7.7771377104781797E-3</v>
      </c>
      <c r="AB5">
        <v>0.74939999999999996</v>
      </c>
      <c r="AC5">
        <v>1</v>
      </c>
    </row>
    <row r="6" spans="1:29" x14ac:dyDescent="0.3">
      <c r="A6" s="1">
        <f t="shared" si="1"/>
        <v>45842</v>
      </c>
      <c r="C6" s="3" t="str">
        <f t="shared" si="0"/>
        <v>cohort(4-Jul-25:3-Aug-25)</v>
      </c>
      <c r="D6" s="4">
        <v>45900</v>
      </c>
      <c r="E6">
        <v>3100</v>
      </c>
      <c r="F6">
        <v>0.5</v>
      </c>
      <c r="G6">
        <v>6200</v>
      </c>
      <c r="H6">
        <v>6.3500063500095197E-3</v>
      </c>
      <c r="I6">
        <v>0.5</v>
      </c>
      <c r="J6">
        <v>0.99844799794766304</v>
      </c>
      <c r="K6">
        <v>10</v>
      </c>
      <c r="L6">
        <v>20.51</v>
      </c>
      <c r="M6">
        <v>20.51</v>
      </c>
      <c r="N6">
        <v>0.5</v>
      </c>
      <c r="O6">
        <v>6.3500063500095197E-3</v>
      </c>
      <c r="P6">
        <v>0.5</v>
      </c>
      <c r="Q6">
        <v>774.87043532756502</v>
      </c>
      <c r="R6">
        <v>0.24995820494437501</v>
      </c>
      <c r="S6">
        <v>3100</v>
      </c>
      <c r="T6">
        <v>7.7767042676345601E-3</v>
      </c>
      <c r="U6">
        <v>0.25</v>
      </c>
      <c r="V6">
        <v>0.99394605273852299</v>
      </c>
      <c r="W6">
        <v>4.9999999999999902</v>
      </c>
      <c r="X6">
        <v>26.97</v>
      </c>
      <c r="Y6">
        <v>10.25</v>
      </c>
      <c r="Z6">
        <v>0.25069999999999998</v>
      </c>
      <c r="AA6">
        <v>7.7771377104781797E-3</v>
      </c>
      <c r="AB6">
        <v>0.74929999999999997</v>
      </c>
      <c r="AC6">
        <v>1</v>
      </c>
    </row>
    <row r="7" spans="1:29" x14ac:dyDescent="0.3">
      <c r="A7" s="1">
        <f t="shared" si="1"/>
        <v>45843</v>
      </c>
      <c r="C7" s="3" t="str">
        <f t="shared" si="0"/>
        <v>cohort(5-Jul-25:4-Aug-25)</v>
      </c>
      <c r="D7" s="4">
        <v>45900</v>
      </c>
      <c r="E7">
        <v>3100</v>
      </c>
      <c r="F7">
        <v>0.5</v>
      </c>
      <c r="G7">
        <v>6200</v>
      </c>
      <c r="H7">
        <v>6.3500063500095197E-3</v>
      </c>
      <c r="I7">
        <v>0.5</v>
      </c>
      <c r="J7">
        <v>0.99807942921483706</v>
      </c>
      <c r="K7">
        <v>10</v>
      </c>
      <c r="L7">
        <v>20.51</v>
      </c>
      <c r="M7">
        <v>20.51</v>
      </c>
      <c r="N7">
        <v>0.5</v>
      </c>
      <c r="O7">
        <v>6.3500063500095197E-3</v>
      </c>
      <c r="P7">
        <v>0.5</v>
      </c>
      <c r="Q7">
        <v>774.80714188505601</v>
      </c>
      <c r="R7">
        <v>0.249937787704857</v>
      </c>
      <c r="S7">
        <v>3100</v>
      </c>
      <c r="T7">
        <v>7.7764924919968498E-3</v>
      </c>
      <c r="U7">
        <v>0.25</v>
      </c>
      <c r="V7">
        <v>0.99234690835544104</v>
      </c>
      <c r="W7">
        <v>4.9999999999999902</v>
      </c>
      <c r="X7">
        <v>26.97</v>
      </c>
      <c r="Y7">
        <v>10.25</v>
      </c>
      <c r="Z7">
        <v>0.25090000000000001</v>
      </c>
      <c r="AA7">
        <v>7.7761004822261203E-3</v>
      </c>
      <c r="AB7">
        <v>0.74909999999999999</v>
      </c>
      <c r="AC7">
        <v>1</v>
      </c>
    </row>
    <row r="8" spans="1:29" x14ac:dyDescent="0.3">
      <c r="A8" s="1">
        <f t="shared" si="1"/>
        <v>45844</v>
      </c>
      <c r="C8" s="3" t="str">
        <f t="shared" si="0"/>
        <v>cohort(6-Jul-25:5-Aug-25)</v>
      </c>
      <c r="D8" s="4">
        <v>45900</v>
      </c>
      <c r="E8">
        <v>3100</v>
      </c>
      <c r="F8">
        <v>0.5</v>
      </c>
      <c r="G8">
        <v>6200</v>
      </c>
      <c r="H8">
        <v>6.3500063500095197E-3</v>
      </c>
      <c r="I8">
        <v>0.5</v>
      </c>
      <c r="J8">
        <v>0.99761871527975798</v>
      </c>
      <c r="K8">
        <v>10</v>
      </c>
      <c r="L8">
        <v>20.51</v>
      </c>
      <c r="M8">
        <v>20.51</v>
      </c>
      <c r="N8">
        <v>0.5</v>
      </c>
      <c r="O8">
        <v>6.3500063500095197E-3</v>
      </c>
      <c r="P8">
        <v>0.5</v>
      </c>
      <c r="Q8">
        <v>774.71065261716797</v>
      </c>
      <c r="R8">
        <v>0.24990666213457</v>
      </c>
      <c r="S8">
        <v>3100</v>
      </c>
      <c r="T8">
        <v>7.7761696009673699E-3</v>
      </c>
      <c r="U8">
        <v>0.25</v>
      </c>
      <c r="V8">
        <v>0.99033587178321902</v>
      </c>
      <c r="W8">
        <v>4.9999999999999902</v>
      </c>
      <c r="X8">
        <v>26.97</v>
      </c>
      <c r="Y8">
        <v>10.25</v>
      </c>
      <c r="Z8">
        <v>0.25119999999999998</v>
      </c>
      <c r="AA8">
        <v>7.7761004822261203E-3</v>
      </c>
      <c r="AB8">
        <v>0.74880000000000002</v>
      </c>
      <c r="AC8">
        <v>1</v>
      </c>
    </row>
    <row r="9" spans="1:29" x14ac:dyDescent="0.3">
      <c r="A9" s="1">
        <f t="shared" ref="A9:A33" si="2">A8+1</f>
        <v>45845</v>
      </c>
      <c r="C9" s="3" t="str">
        <f t="shared" si="0"/>
        <v>cohort(7-Jul-25:6-Aug-25)</v>
      </c>
      <c r="D9" s="4">
        <v>45900</v>
      </c>
      <c r="E9">
        <v>3100</v>
      </c>
      <c r="F9">
        <v>0.5</v>
      </c>
      <c r="G9">
        <v>6200</v>
      </c>
      <c r="H9">
        <v>6.3500063500095197E-3</v>
      </c>
      <c r="I9">
        <v>0.5</v>
      </c>
      <c r="J9">
        <v>0.99704186994107202</v>
      </c>
      <c r="K9">
        <v>10</v>
      </c>
      <c r="L9">
        <v>20.51</v>
      </c>
      <c r="M9">
        <v>20.51</v>
      </c>
      <c r="N9">
        <v>0.5</v>
      </c>
      <c r="O9">
        <v>6.3500063500095197E-3</v>
      </c>
      <c r="P9">
        <v>0.5</v>
      </c>
      <c r="Q9">
        <v>774.56240772895296</v>
      </c>
      <c r="R9">
        <v>0.24985884120288801</v>
      </c>
      <c r="S9">
        <v>3100</v>
      </c>
      <c r="T9">
        <v>7.7756734108462401E-3</v>
      </c>
      <c r="U9">
        <v>0.25</v>
      </c>
      <c r="V9">
        <v>0.98781362676685402</v>
      </c>
      <c r="W9">
        <v>4.9999999999999902</v>
      </c>
      <c r="X9">
        <v>26.97</v>
      </c>
      <c r="Y9">
        <v>10.25</v>
      </c>
      <c r="Z9">
        <v>0.2515</v>
      </c>
      <c r="AA9">
        <v>7.7761004822261203E-3</v>
      </c>
      <c r="AB9">
        <v>0.74850000000000005</v>
      </c>
      <c r="AC9">
        <v>1</v>
      </c>
    </row>
    <row r="10" spans="1:29" x14ac:dyDescent="0.3">
      <c r="A10" s="1">
        <f t="shared" si="2"/>
        <v>45846</v>
      </c>
      <c r="C10" s="3" t="str">
        <f t="shared" si="0"/>
        <v>cohort(8-Jul-25:7-Aug-25)</v>
      </c>
      <c r="D10" s="4">
        <v>45900</v>
      </c>
      <c r="E10">
        <v>3100</v>
      </c>
      <c r="F10">
        <v>0.5</v>
      </c>
      <c r="G10">
        <v>6200</v>
      </c>
      <c r="H10">
        <v>6.3500063500095197E-3</v>
      </c>
      <c r="I10">
        <v>0.5</v>
      </c>
      <c r="J10">
        <v>0.99631851596850396</v>
      </c>
      <c r="K10">
        <v>10</v>
      </c>
      <c r="L10">
        <v>20.51</v>
      </c>
      <c r="M10">
        <v>20.51</v>
      </c>
      <c r="N10">
        <v>0.5</v>
      </c>
      <c r="O10">
        <v>6.3500063500095197E-3</v>
      </c>
      <c r="P10">
        <v>0.5</v>
      </c>
      <c r="Q10">
        <v>774.33290516920897</v>
      </c>
      <c r="R10">
        <v>0.24978480811909901</v>
      </c>
      <c r="S10">
        <v>3100</v>
      </c>
      <c r="T10">
        <v>7.7749049937563099E-3</v>
      </c>
      <c r="U10">
        <v>0.25</v>
      </c>
      <c r="V10">
        <v>0.98466045485859399</v>
      </c>
      <c r="W10">
        <v>4.9999999999999902</v>
      </c>
      <c r="X10">
        <v>26.97</v>
      </c>
      <c r="Y10">
        <v>10.25</v>
      </c>
      <c r="Z10">
        <v>0.25180000000000002</v>
      </c>
      <c r="AA10">
        <v>7.7750627007118003E-3</v>
      </c>
      <c r="AB10">
        <v>0.74819999999999998</v>
      </c>
      <c r="AC10">
        <v>1</v>
      </c>
    </row>
    <row r="11" spans="1:29" x14ac:dyDescent="0.3">
      <c r="A11" s="1">
        <f t="shared" si="2"/>
        <v>45847</v>
      </c>
      <c r="C11" s="3" t="str">
        <f t="shared" si="0"/>
        <v>cohort(9-Jul-25:8-Aug-25)</v>
      </c>
      <c r="D11" s="4">
        <v>45900</v>
      </c>
      <c r="E11">
        <v>3100</v>
      </c>
      <c r="F11">
        <v>0.5</v>
      </c>
      <c r="G11">
        <v>6200</v>
      </c>
      <c r="H11">
        <v>6.3500063500095197E-3</v>
      </c>
      <c r="I11">
        <v>0.5</v>
      </c>
      <c r="J11">
        <v>0.99541019374639095</v>
      </c>
      <c r="K11">
        <v>10</v>
      </c>
      <c r="L11">
        <v>20.51</v>
      </c>
      <c r="M11">
        <v>20.51</v>
      </c>
      <c r="N11">
        <v>0.5</v>
      </c>
      <c r="O11">
        <v>6.3500063500095197E-3</v>
      </c>
      <c r="P11">
        <v>0.5</v>
      </c>
      <c r="Q11">
        <v>773.97502086135501</v>
      </c>
      <c r="R11">
        <v>0.24966936156817901</v>
      </c>
      <c r="S11">
        <v>3100</v>
      </c>
      <c r="T11">
        <v>7.7737061253515399E-3</v>
      </c>
      <c r="U11">
        <v>0.25</v>
      </c>
      <c r="V11">
        <v>0.98073378298146896</v>
      </c>
      <c r="W11">
        <v>4.9999999999999902</v>
      </c>
      <c r="X11">
        <v>26.97</v>
      </c>
      <c r="Y11">
        <v>10.25</v>
      </c>
      <c r="Z11">
        <v>0.25219999999999998</v>
      </c>
      <c r="AA11">
        <v>7.7740243657136599E-3</v>
      </c>
      <c r="AB11">
        <v>0.74780000000000002</v>
      </c>
      <c r="AC11">
        <v>1</v>
      </c>
    </row>
    <row r="12" spans="1:29" x14ac:dyDescent="0.3">
      <c r="A12" s="1">
        <f t="shared" si="2"/>
        <v>45848</v>
      </c>
      <c r="C12" s="3" t="str">
        <f t="shared" si="0"/>
        <v>cohort(10-Jul-25:9-Aug-25)</v>
      </c>
      <c r="D12" s="4">
        <v>45900</v>
      </c>
      <c r="E12">
        <v>3100</v>
      </c>
      <c r="F12">
        <v>0.5</v>
      </c>
      <c r="G12">
        <v>6200</v>
      </c>
      <c r="H12">
        <v>6.3500063500095197E-3</v>
      </c>
      <c r="I12">
        <v>0.5</v>
      </c>
      <c r="J12">
        <v>0.99426825334628099</v>
      </c>
      <c r="K12">
        <v>10</v>
      </c>
      <c r="L12">
        <v>20.51</v>
      </c>
      <c r="M12">
        <v>20.51</v>
      </c>
      <c r="N12">
        <v>0.5</v>
      </c>
      <c r="O12">
        <v>6.3500063500095197E-3</v>
      </c>
      <c r="P12">
        <v>0.5</v>
      </c>
      <c r="Q12">
        <v>773.41325162500198</v>
      </c>
      <c r="R12">
        <v>0.249488145685484</v>
      </c>
      <c r="S12">
        <v>3100</v>
      </c>
      <c r="T12">
        <v>7.7718227788450703E-3</v>
      </c>
      <c r="U12">
        <v>0.25</v>
      </c>
      <c r="V12">
        <v>0.97586632425536002</v>
      </c>
      <c r="W12">
        <v>4.9999999999999902</v>
      </c>
      <c r="X12">
        <v>26.97</v>
      </c>
      <c r="Y12">
        <v>10.25</v>
      </c>
      <c r="Z12">
        <v>0.25269999999999998</v>
      </c>
      <c r="AA12">
        <v>7.7719460343784099E-3</v>
      </c>
      <c r="AB12">
        <v>0.74729999999999996</v>
      </c>
      <c r="AC12">
        <v>1</v>
      </c>
    </row>
    <row r="13" spans="1:29" x14ac:dyDescent="0.3">
      <c r="A13" s="1">
        <f t="shared" si="2"/>
        <v>45849</v>
      </c>
      <c r="C13" s="3" t="str">
        <f t="shared" si="0"/>
        <v>cohort(11-Jul-25:10-Aug-25)</v>
      </c>
      <c r="D13" s="4">
        <v>45900</v>
      </c>
      <c r="E13">
        <v>3100</v>
      </c>
      <c r="F13">
        <v>0.5</v>
      </c>
      <c r="G13">
        <v>6200</v>
      </c>
      <c r="H13">
        <v>6.3500063500095197E-3</v>
      </c>
      <c r="I13">
        <v>0.5</v>
      </c>
      <c r="J13">
        <v>0.99283125270018002</v>
      </c>
      <c r="K13">
        <v>10</v>
      </c>
      <c r="L13">
        <v>20.51</v>
      </c>
      <c r="M13">
        <v>20.51</v>
      </c>
      <c r="N13">
        <v>0.5</v>
      </c>
      <c r="O13">
        <v>6.3500063500095197E-3</v>
      </c>
      <c r="P13">
        <v>0.5</v>
      </c>
      <c r="Q13">
        <v>772.52659105360704</v>
      </c>
      <c r="R13">
        <v>0.249202126146325</v>
      </c>
      <c r="S13">
        <v>3100</v>
      </c>
      <c r="T13">
        <v>7.7688465218974899E-3</v>
      </c>
      <c r="U13">
        <v>0.25</v>
      </c>
      <c r="V13">
        <v>0.96986537367125303</v>
      </c>
      <c r="W13">
        <v>4.9999999999999902</v>
      </c>
      <c r="X13">
        <v>26.97</v>
      </c>
      <c r="Y13">
        <v>10.25</v>
      </c>
      <c r="Z13">
        <v>0.25330000000000003</v>
      </c>
      <c r="AA13">
        <v>7.7688243806939301E-3</v>
      </c>
      <c r="AB13">
        <v>0.74670000000000003</v>
      </c>
      <c r="AC13">
        <v>1</v>
      </c>
    </row>
    <row r="14" spans="1:29" x14ac:dyDescent="0.3">
      <c r="A14" s="1">
        <f t="shared" si="2"/>
        <v>45850</v>
      </c>
      <c r="C14" s="3" t="str">
        <f t="shared" si="0"/>
        <v>cohort(12-Jul-25:11-Aug-25)</v>
      </c>
      <c r="D14" s="4">
        <v>45900</v>
      </c>
      <c r="E14">
        <v>3100</v>
      </c>
      <c r="F14">
        <v>0.5</v>
      </c>
      <c r="G14">
        <v>6200</v>
      </c>
      <c r="H14">
        <v>6.3500063500095197E-3</v>
      </c>
      <c r="I14">
        <v>0.5</v>
      </c>
      <c r="J14">
        <v>0.99102178881615999</v>
      </c>
      <c r="K14">
        <v>10</v>
      </c>
      <c r="L14">
        <v>20.51</v>
      </c>
      <c r="M14">
        <v>20.51</v>
      </c>
      <c r="N14">
        <v>0.5</v>
      </c>
      <c r="O14">
        <v>6.3500063500095197E-3</v>
      </c>
      <c r="P14">
        <v>0.5</v>
      </c>
      <c r="Q14">
        <v>771.12189596107703</v>
      </c>
      <c r="R14">
        <v>0.248748998697121</v>
      </c>
      <c r="S14">
        <v>3100</v>
      </c>
      <c r="T14">
        <v>7.7641220832730404E-3</v>
      </c>
      <c r="U14">
        <v>0.25</v>
      </c>
      <c r="V14">
        <v>0.96251402521524398</v>
      </c>
      <c r="W14">
        <v>4.9999999999999902</v>
      </c>
      <c r="X14">
        <v>26.97</v>
      </c>
      <c r="Y14">
        <v>10.25</v>
      </c>
      <c r="Z14">
        <v>0.25390000000000001</v>
      </c>
      <c r="AA14">
        <v>7.7636105252064701E-3</v>
      </c>
      <c r="AB14">
        <v>0.74609999999999999</v>
      </c>
      <c r="AC14">
        <v>1</v>
      </c>
    </row>
    <row r="15" spans="1:29" x14ac:dyDescent="0.3">
      <c r="A15" s="1">
        <f t="shared" si="2"/>
        <v>45851</v>
      </c>
      <c r="C15" s="3" t="str">
        <f t="shared" si="0"/>
        <v>cohort(13-Jul-25:12-Aug-25)</v>
      </c>
      <c r="D15" s="4">
        <v>45900</v>
      </c>
      <c r="E15">
        <v>3100</v>
      </c>
      <c r="F15">
        <v>0.5</v>
      </c>
      <c r="G15">
        <v>6200</v>
      </c>
      <c r="H15">
        <v>6.3500063500095197E-3</v>
      </c>
      <c r="I15">
        <v>0.5</v>
      </c>
      <c r="J15">
        <v>0.98874271023253602</v>
      </c>
      <c r="K15">
        <v>10</v>
      </c>
      <c r="L15">
        <v>20.51</v>
      </c>
      <c r="M15">
        <v>20.51</v>
      </c>
      <c r="N15">
        <v>0.5</v>
      </c>
      <c r="O15">
        <v>6.3500063500095197E-3</v>
      </c>
      <c r="P15">
        <v>0.5</v>
      </c>
      <c r="Q15">
        <v>768.89426151369901</v>
      </c>
      <c r="R15">
        <v>0.248030406939903</v>
      </c>
      <c r="S15">
        <v>3100</v>
      </c>
      <c r="T15">
        <v>7.7566064281781397E-3</v>
      </c>
      <c r="U15">
        <v>0.25</v>
      </c>
      <c r="V15">
        <v>0.95357528521740698</v>
      </c>
      <c r="W15">
        <v>4.9999999999999902</v>
      </c>
      <c r="X15">
        <v>26.97</v>
      </c>
      <c r="Y15">
        <v>10.25</v>
      </c>
      <c r="Z15">
        <v>0.25459999999999999</v>
      </c>
      <c r="AA15">
        <v>7.7562877718661202E-3</v>
      </c>
      <c r="AB15">
        <v>0.74539999999999995</v>
      </c>
      <c r="AC15">
        <v>1</v>
      </c>
    </row>
    <row r="16" spans="1:29" x14ac:dyDescent="0.3">
      <c r="A16" s="1">
        <f t="shared" si="2"/>
        <v>45852</v>
      </c>
      <c r="C16" s="3" t="str">
        <f t="shared" si="0"/>
        <v>cohort(14-Jul-25:13-Aug-25)</v>
      </c>
      <c r="D16" s="4">
        <v>45900</v>
      </c>
      <c r="E16">
        <v>3100</v>
      </c>
      <c r="F16">
        <v>0.5</v>
      </c>
      <c r="G16">
        <v>6200</v>
      </c>
      <c r="H16">
        <v>6.3500063500095197E-3</v>
      </c>
      <c r="I16">
        <v>0.5</v>
      </c>
      <c r="J16">
        <v>0.98587271055927395</v>
      </c>
      <c r="K16">
        <v>10</v>
      </c>
      <c r="L16">
        <v>20.51</v>
      </c>
      <c r="M16">
        <v>20.51</v>
      </c>
      <c r="N16">
        <v>0.5</v>
      </c>
      <c r="O16">
        <v>6.3500063500095197E-3</v>
      </c>
      <c r="P16">
        <v>0.5</v>
      </c>
      <c r="Q16">
        <v>765.373031232279</v>
      </c>
      <c r="R16">
        <v>0.24689452620395999</v>
      </c>
      <c r="S16">
        <v>3100</v>
      </c>
      <c r="T16">
        <v>7.7446676584702898E-3</v>
      </c>
      <c r="U16">
        <v>0.25</v>
      </c>
      <c r="V16">
        <v>0.94280021246309498</v>
      </c>
      <c r="W16">
        <v>4.9999999999999902</v>
      </c>
      <c r="X16">
        <v>26.97</v>
      </c>
      <c r="Y16">
        <v>10.25</v>
      </c>
      <c r="Z16">
        <v>0.25519999999999998</v>
      </c>
      <c r="AA16">
        <v>7.74472536425546E-3</v>
      </c>
      <c r="AB16">
        <v>0.74480000000000002</v>
      </c>
      <c r="AC16">
        <v>1</v>
      </c>
    </row>
    <row r="17" spans="1:29" x14ac:dyDescent="0.3">
      <c r="A17" s="1">
        <f t="shared" si="2"/>
        <v>45853</v>
      </c>
      <c r="C17" s="3" t="str">
        <f t="shared" si="0"/>
        <v>cohort(15-Jul-25:14-Aug-25)</v>
      </c>
      <c r="D17" s="4">
        <v>45900</v>
      </c>
      <c r="E17">
        <v>3100</v>
      </c>
      <c r="F17">
        <v>0.5</v>
      </c>
      <c r="G17">
        <v>6200</v>
      </c>
      <c r="H17">
        <v>6.3500063500095197E-3</v>
      </c>
      <c r="I17">
        <v>0.5</v>
      </c>
      <c r="J17">
        <v>0.98226140604710199</v>
      </c>
      <c r="K17">
        <v>10</v>
      </c>
      <c r="L17">
        <v>20.51</v>
      </c>
      <c r="M17">
        <v>20.51</v>
      </c>
      <c r="N17">
        <v>0.5</v>
      </c>
      <c r="O17">
        <v>6.3500063500095197E-3</v>
      </c>
      <c r="P17">
        <v>0.5</v>
      </c>
      <c r="Q17">
        <v>759.86174260834696</v>
      </c>
      <c r="R17">
        <v>0.24511669116398299</v>
      </c>
      <c r="S17">
        <v>3100</v>
      </c>
      <c r="T17">
        <v>7.7258363964541298E-3</v>
      </c>
      <c r="U17">
        <v>0.25</v>
      </c>
      <c r="V17">
        <v>0.92994121941776797</v>
      </c>
      <c r="W17">
        <v>4.9999999999999902</v>
      </c>
      <c r="X17">
        <v>26.97</v>
      </c>
      <c r="Y17">
        <v>10.25</v>
      </c>
      <c r="Z17">
        <v>0.2555</v>
      </c>
      <c r="AA17">
        <v>7.7256587567537801E-3</v>
      </c>
      <c r="AB17">
        <v>0.74450000000000005</v>
      </c>
      <c r="AC17">
        <v>1</v>
      </c>
    </row>
    <row r="18" spans="1:29" x14ac:dyDescent="0.3">
      <c r="A18" s="1">
        <f t="shared" si="2"/>
        <v>45854</v>
      </c>
      <c r="C18" s="3" t="str">
        <f t="shared" si="0"/>
        <v>cohort(16-Jul-25:15-Aug-25)</v>
      </c>
      <c r="D18" s="4">
        <v>45900</v>
      </c>
      <c r="E18">
        <v>3100</v>
      </c>
      <c r="F18">
        <v>0.5</v>
      </c>
      <c r="G18">
        <v>6200</v>
      </c>
      <c r="H18">
        <v>6.3500063500095197E-3</v>
      </c>
      <c r="I18">
        <v>0.5</v>
      </c>
      <c r="J18">
        <v>0.977724186203343</v>
      </c>
      <c r="K18">
        <v>10</v>
      </c>
      <c r="L18">
        <v>20.51</v>
      </c>
      <c r="M18">
        <v>20.51</v>
      </c>
      <c r="N18">
        <v>0.5</v>
      </c>
      <c r="O18">
        <v>6.3500063500095197E-3</v>
      </c>
      <c r="P18">
        <v>0.5</v>
      </c>
      <c r="Q18">
        <v>751.40874111852895</v>
      </c>
      <c r="R18">
        <v>0.24238991648984801</v>
      </c>
      <c r="S18">
        <v>3100</v>
      </c>
      <c r="T18">
        <v>7.6966068115068096E-3</v>
      </c>
      <c r="U18">
        <v>0.25</v>
      </c>
      <c r="V18">
        <v>0.91477136372805701</v>
      </c>
      <c r="W18">
        <v>4.9999999999999902</v>
      </c>
      <c r="X18">
        <v>26.97</v>
      </c>
      <c r="Y18">
        <v>10.25</v>
      </c>
      <c r="Z18">
        <v>0.2555</v>
      </c>
      <c r="AA18">
        <v>7.6967156799549498E-3</v>
      </c>
      <c r="AB18">
        <v>0.74450000000000005</v>
      </c>
      <c r="AC18">
        <v>1</v>
      </c>
    </row>
    <row r="19" spans="1:29" x14ac:dyDescent="0.3">
      <c r="A19" s="1">
        <f t="shared" si="2"/>
        <v>45855</v>
      </c>
      <c r="C19" s="3" t="str">
        <f t="shared" si="0"/>
        <v>cohort(17-Jul-25:16-Aug-25)</v>
      </c>
      <c r="D19" s="4">
        <v>45900</v>
      </c>
      <c r="E19">
        <v>3100</v>
      </c>
      <c r="F19">
        <v>0.5</v>
      </c>
      <c r="G19">
        <v>6200</v>
      </c>
      <c r="H19">
        <v>6.3500063500095197E-3</v>
      </c>
      <c r="I19">
        <v>0.5</v>
      </c>
      <c r="J19">
        <v>0.97203744001984105</v>
      </c>
      <c r="K19">
        <v>10</v>
      </c>
      <c r="L19">
        <v>20.51</v>
      </c>
      <c r="M19">
        <v>20.51</v>
      </c>
      <c r="N19">
        <v>0.5</v>
      </c>
      <c r="O19">
        <v>6.3500063500095197E-3</v>
      </c>
      <c r="P19">
        <v>0.5</v>
      </c>
      <c r="Q19">
        <v>738.90881796560495</v>
      </c>
      <c r="R19">
        <v>0.23835768321471101</v>
      </c>
      <c r="S19">
        <v>3100</v>
      </c>
      <c r="T19">
        <v>7.6526044073396597E-3</v>
      </c>
      <c r="U19">
        <v>0.25</v>
      </c>
      <c r="V19">
        <v>0.89710965686583499</v>
      </c>
      <c r="W19">
        <v>4.9999999999999902</v>
      </c>
      <c r="X19">
        <v>26.97</v>
      </c>
      <c r="Y19">
        <v>10.25</v>
      </c>
      <c r="Z19">
        <v>0.25490000000000002</v>
      </c>
      <c r="AA19">
        <v>7.65307106815254E-3</v>
      </c>
      <c r="AB19">
        <v>0.74509999999999998</v>
      </c>
      <c r="AC19">
        <v>1</v>
      </c>
    </row>
    <row r="20" spans="1:29" x14ac:dyDescent="0.3">
      <c r="A20" s="1">
        <f t="shared" si="2"/>
        <v>45856</v>
      </c>
      <c r="C20" s="3" t="str">
        <f t="shared" si="0"/>
        <v>cohort(18-Jul-25:17-Aug-25)</v>
      </c>
      <c r="D20" s="4">
        <v>45900</v>
      </c>
      <c r="E20">
        <v>3100</v>
      </c>
      <c r="F20">
        <v>0.5</v>
      </c>
      <c r="G20">
        <v>6200</v>
      </c>
      <c r="H20">
        <v>6.3500063500095197E-3</v>
      </c>
      <c r="I20">
        <v>0.5</v>
      </c>
      <c r="J20">
        <v>0.96493525822233495</v>
      </c>
      <c r="K20">
        <v>10</v>
      </c>
      <c r="L20">
        <v>20.51</v>
      </c>
      <c r="M20">
        <v>20.51</v>
      </c>
      <c r="N20">
        <v>0.5</v>
      </c>
      <c r="O20">
        <v>6.3500063500095197E-3</v>
      </c>
      <c r="P20">
        <v>0.5</v>
      </c>
      <c r="Q20">
        <v>721.52499841968597</v>
      </c>
      <c r="R20">
        <v>0.23274999949022099</v>
      </c>
      <c r="S20">
        <v>3100</v>
      </c>
      <c r="T20">
        <v>7.5898369489801496E-3</v>
      </c>
      <c r="U20">
        <v>0.25</v>
      </c>
      <c r="V20">
        <v>0.87685097344442098</v>
      </c>
      <c r="W20">
        <v>4.9999999999999902</v>
      </c>
      <c r="X20">
        <v>26.97</v>
      </c>
      <c r="Y20">
        <v>10.25</v>
      </c>
      <c r="Z20">
        <v>0.2535</v>
      </c>
      <c r="AA20">
        <v>7.5892689520010003E-3</v>
      </c>
      <c r="AB20">
        <v>0.74650000000000005</v>
      </c>
      <c r="AC20">
        <v>1</v>
      </c>
    </row>
    <row r="21" spans="1:29" x14ac:dyDescent="0.3">
      <c r="A21" s="1">
        <f t="shared" si="2"/>
        <v>45857</v>
      </c>
      <c r="C21" s="3" t="str">
        <f t="shared" si="0"/>
        <v>cohort(19-Jul-25:18-Aug-25)</v>
      </c>
      <c r="D21" s="4">
        <v>45900</v>
      </c>
      <c r="E21">
        <v>3100</v>
      </c>
      <c r="F21">
        <v>0.5</v>
      </c>
      <c r="G21">
        <v>6200</v>
      </c>
      <c r="H21">
        <v>6.3500063500095197E-3</v>
      </c>
      <c r="I21">
        <v>0.5</v>
      </c>
      <c r="J21">
        <v>0.95610945345182696</v>
      </c>
      <c r="K21">
        <v>10</v>
      </c>
      <c r="L21">
        <v>20.51</v>
      </c>
      <c r="M21">
        <v>20.51</v>
      </c>
      <c r="N21">
        <v>0.5</v>
      </c>
      <c r="O21">
        <v>6.3500063500095197E-3</v>
      </c>
      <c r="P21">
        <v>0.5</v>
      </c>
      <c r="Q21">
        <v>699.55012407107995</v>
      </c>
      <c r="R21">
        <v>0.225661330345509</v>
      </c>
      <c r="S21">
        <v>3100</v>
      </c>
      <c r="T21">
        <v>7.5078087162677399E-3</v>
      </c>
      <c r="U21">
        <v>0.25</v>
      </c>
      <c r="V21">
        <v>0.85399666839519395</v>
      </c>
      <c r="W21">
        <v>4.9999999999999902</v>
      </c>
      <c r="X21">
        <v>26.97</v>
      </c>
      <c r="Y21">
        <v>10.25</v>
      </c>
      <c r="Z21">
        <v>0.25130000000000002</v>
      </c>
      <c r="AA21">
        <v>7.50826447881739E-3</v>
      </c>
      <c r="AB21">
        <v>0.74870000000000003</v>
      </c>
      <c r="AC21">
        <v>1</v>
      </c>
    </row>
    <row r="22" spans="1:29" x14ac:dyDescent="0.3">
      <c r="A22" s="1">
        <f t="shared" si="2"/>
        <v>45858</v>
      </c>
      <c r="C22" s="3" t="str">
        <f t="shared" si="0"/>
        <v>cohort(20-Jul-25:19-Aug-25)</v>
      </c>
      <c r="D22" s="4">
        <v>45900</v>
      </c>
      <c r="E22">
        <v>3100</v>
      </c>
      <c r="F22">
        <v>0.5</v>
      </c>
      <c r="G22">
        <v>6200</v>
      </c>
      <c r="H22">
        <v>6.3500063500095197E-3</v>
      </c>
      <c r="I22">
        <v>0.5</v>
      </c>
      <c r="J22">
        <v>0.94521575467835794</v>
      </c>
      <c r="K22">
        <v>10</v>
      </c>
      <c r="L22">
        <v>20.51</v>
      </c>
      <c r="M22">
        <v>20.51</v>
      </c>
      <c r="N22">
        <v>0.5</v>
      </c>
      <c r="O22">
        <v>6.3500063500095197E-3</v>
      </c>
      <c r="P22">
        <v>0.5</v>
      </c>
      <c r="Q22">
        <v>674.99836681356703</v>
      </c>
      <c r="R22">
        <v>0.217741408649537</v>
      </c>
      <c r="S22">
        <v>3100</v>
      </c>
      <c r="T22">
        <v>7.4125022462892204E-3</v>
      </c>
      <c r="U22">
        <v>0.25</v>
      </c>
      <c r="V22">
        <v>0.82867930004875801</v>
      </c>
      <c r="W22">
        <v>4.9999999999999902</v>
      </c>
      <c r="X22">
        <v>26.97</v>
      </c>
      <c r="Y22">
        <v>10.25</v>
      </c>
      <c r="Z22">
        <v>0.24890000000000001</v>
      </c>
      <c r="AA22">
        <v>7.4119935501251403E-3</v>
      </c>
      <c r="AB22">
        <v>0.75109999999999999</v>
      </c>
      <c r="AC22">
        <v>1</v>
      </c>
    </row>
    <row r="23" spans="1:29" x14ac:dyDescent="0.3">
      <c r="A23" s="1">
        <f t="shared" si="2"/>
        <v>45859</v>
      </c>
      <c r="C23" s="3" t="str">
        <f t="shared" si="0"/>
        <v>cohort(21-Jul-25:20-Aug-25)</v>
      </c>
      <c r="D23" s="4">
        <v>45900</v>
      </c>
      <c r="E23">
        <v>3100</v>
      </c>
      <c r="F23">
        <v>0.5</v>
      </c>
      <c r="G23">
        <v>6200</v>
      </c>
      <c r="H23">
        <v>6.3500063500095197E-3</v>
      </c>
      <c r="I23">
        <v>0.5</v>
      </c>
      <c r="J23">
        <v>0.93189023565595497</v>
      </c>
      <c r="K23">
        <v>10</v>
      </c>
      <c r="L23">
        <v>20.51</v>
      </c>
      <c r="M23">
        <v>20.51</v>
      </c>
      <c r="N23">
        <v>0.5</v>
      </c>
      <c r="O23">
        <v>6.3500063500095197E-3</v>
      </c>
      <c r="P23">
        <v>0.5</v>
      </c>
      <c r="Q23">
        <v>650.00147729123205</v>
      </c>
      <c r="R23">
        <v>0.20967789590039701</v>
      </c>
      <c r="S23">
        <v>3100</v>
      </c>
      <c r="T23">
        <v>7.3113494599962104E-3</v>
      </c>
      <c r="U23">
        <v>0.25</v>
      </c>
      <c r="V23">
        <v>0.80117202387297304</v>
      </c>
      <c r="W23">
        <v>4.9999999999999902</v>
      </c>
      <c r="X23">
        <v>26.97</v>
      </c>
      <c r="Y23">
        <v>10.25</v>
      </c>
      <c r="Z23">
        <v>0.24679999999999999</v>
      </c>
      <c r="AA23">
        <v>7.31163257882546E-3</v>
      </c>
      <c r="AB23">
        <v>0.75319999999999998</v>
      </c>
      <c r="AC23">
        <v>1</v>
      </c>
    </row>
    <row r="24" spans="1:29" x14ac:dyDescent="0.3">
      <c r="A24" s="1">
        <f t="shared" si="2"/>
        <v>45860</v>
      </c>
      <c r="C24" s="3" t="str">
        <f t="shared" si="0"/>
        <v>cohort(22-Jul-25:21-Aug-25)</v>
      </c>
      <c r="D24" s="4">
        <v>45900</v>
      </c>
      <c r="E24">
        <v>3100</v>
      </c>
      <c r="F24">
        <v>0.5</v>
      </c>
      <c r="G24">
        <v>6200</v>
      </c>
      <c r="H24">
        <v>6.3500063500095197E-3</v>
      </c>
      <c r="I24">
        <v>0.5</v>
      </c>
      <c r="J24">
        <v>0.91578104941580796</v>
      </c>
      <c r="K24">
        <v>10</v>
      </c>
      <c r="L24">
        <v>20.51</v>
      </c>
      <c r="M24">
        <v>20.51</v>
      </c>
      <c r="N24">
        <v>0.5</v>
      </c>
      <c r="O24">
        <v>6.3500063500095197E-3</v>
      </c>
      <c r="P24">
        <v>0.5</v>
      </c>
      <c r="Q24">
        <v>625.00184352757799</v>
      </c>
      <c r="R24">
        <v>0.20161349791212099</v>
      </c>
      <c r="S24">
        <v>3100</v>
      </c>
      <c r="T24">
        <v>7.2058554902058097E-3</v>
      </c>
      <c r="U24">
        <v>0.25</v>
      </c>
      <c r="V24">
        <v>0.77187273558689595</v>
      </c>
      <c r="W24">
        <v>4.9999999999999902</v>
      </c>
      <c r="X24">
        <v>26.97</v>
      </c>
      <c r="Y24">
        <v>10.25</v>
      </c>
      <c r="Z24">
        <v>0.245</v>
      </c>
      <c r="AA24">
        <v>7.20567518270909E-3</v>
      </c>
      <c r="AB24">
        <v>0.755</v>
      </c>
      <c r="AC24">
        <v>1</v>
      </c>
    </row>
    <row r="25" spans="1:29" x14ac:dyDescent="0.3">
      <c r="A25" s="1">
        <f t="shared" si="2"/>
        <v>45861</v>
      </c>
      <c r="C25" s="3" t="str">
        <f t="shared" si="0"/>
        <v>cohort(23-Jul-25:22-Aug-25)</v>
      </c>
      <c r="D25" s="4">
        <v>45900</v>
      </c>
      <c r="E25">
        <v>3100</v>
      </c>
      <c r="F25">
        <v>0.5</v>
      </c>
      <c r="G25">
        <v>6200</v>
      </c>
      <c r="H25">
        <v>6.3500063500095197E-3</v>
      </c>
      <c r="I25">
        <v>0.5</v>
      </c>
      <c r="J25">
        <v>0.89660048033890805</v>
      </c>
      <c r="K25">
        <v>10</v>
      </c>
      <c r="L25">
        <v>20.51</v>
      </c>
      <c r="M25">
        <v>20.51</v>
      </c>
      <c r="N25">
        <v>0.5</v>
      </c>
      <c r="O25">
        <v>6.3500063500095197E-3</v>
      </c>
      <c r="P25">
        <v>0.5</v>
      </c>
      <c r="Q25">
        <v>600.00235164397202</v>
      </c>
      <c r="R25">
        <v>0.193549145691604</v>
      </c>
      <c r="S25">
        <v>3100</v>
      </c>
      <c r="T25">
        <v>7.0958387145191697E-3</v>
      </c>
      <c r="U25">
        <v>0.25</v>
      </c>
      <c r="V25">
        <v>0.74125703975657298</v>
      </c>
      <c r="W25">
        <v>4.9999999999999902</v>
      </c>
      <c r="X25">
        <v>26.97</v>
      </c>
      <c r="Y25">
        <v>10.25</v>
      </c>
      <c r="Z25">
        <v>0.24340000000000001</v>
      </c>
      <c r="AA25">
        <v>7.0951539572738902E-3</v>
      </c>
      <c r="AB25">
        <v>0.75660000000000005</v>
      </c>
      <c r="AC25">
        <v>1</v>
      </c>
    </row>
    <row r="26" spans="1:29" x14ac:dyDescent="0.3">
      <c r="A26" s="1">
        <f t="shared" si="2"/>
        <v>45862</v>
      </c>
      <c r="C26" s="3" t="str">
        <f t="shared" si="0"/>
        <v>cohort(24-Jul-25:23-Aug-25)</v>
      </c>
      <c r="D26" s="4">
        <v>45900</v>
      </c>
      <c r="E26">
        <v>3100</v>
      </c>
      <c r="F26">
        <v>0.5</v>
      </c>
      <c r="G26">
        <v>6200</v>
      </c>
      <c r="H26">
        <v>6.3500063500095197E-3</v>
      </c>
      <c r="I26">
        <v>0.5</v>
      </c>
      <c r="J26">
        <v>0.87419906047282103</v>
      </c>
      <c r="K26">
        <v>10</v>
      </c>
      <c r="L26">
        <v>20.51</v>
      </c>
      <c r="M26">
        <v>20.51</v>
      </c>
      <c r="N26">
        <v>0.5</v>
      </c>
      <c r="O26">
        <v>6.3500063500095197E-3</v>
      </c>
      <c r="P26">
        <v>0.5</v>
      </c>
      <c r="Q26">
        <v>575.00306045133698</v>
      </c>
      <c r="R26">
        <v>0.18548485821010799</v>
      </c>
      <c r="S26">
        <v>3100</v>
      </c>
      <c r="T26">
        <v>6.9810856347910103E-3</v>
      </c>
      <c r="U26">
        <v>0.25</v>
      </c>
      <c r="V26">
        <v>0.70980472140648398</v>
      </c>
      <c r="W26">
        <v>4.9999999999999902</v>
      </c>
      <c r="X26">
        <v>26.97</v>
      </c>
      <c r="Y26">
        <v>10.25</v>
      </c>
      <c r="Z26">
        <v>0.24210000000000001</v>
      </c>
      <c r="AA26">
        <v>6.9813056824821803E-3</v>
      </c>
      <c r="AB26">
        <v>0.75790000000000002</v>
      </c>
      <c r="AC26">
        <v>1</v>
      </c>
    </row>
    <row r="27" spans="1:29" x14ac:dyDescent="0.3">
      <c r="A27" s="1">
        <f t="shared" si="2"/>
        <v>45863</v>
      </c>
      <c r="C27" s="3" t="str">
        <f t="shared" si="0"/>
        <v>cohort(25-Jul-25:24-Aug-25)</v>
      </c>
      <c r="D27" s="4">
        <v>45900</v>
      </c>
      <c r="E27">
        <v>3100</v>
      </c>
      <c r="F27">
        <v>0.5</v>
      </c>
      <c r="G27">
        <v>6200</v>
      </c>
      <c r="H27">
        <v>6.3500063500095197E-3</v>
      </c>
      <c r="I27">
        <v>0.5</v>
      </c>
      <c r="J27">
        <v>0.84865382543559897</v>
      </c>
      <c r="K27">
        <v>10</v>
      </c>
      <c r="L27">
        <v>20.51</v>
      </c>
      <c r="M27">
        <v>20.51</v>
      </c>
      <c r="N27">
        <v>0.5</v>
      </c>
      <c r="O27">
        <v>6.3500063500095197E-3</v>
      </c>
      <c r="P27">
        <v>0.5</v>
      </c>
      <c r="Q27">
        <v>550.004054798938</v>
      </c>
      <c r="R27">
        <v>0.17742066283836699</v>
      </c>
      <c r="S27">
        <v>3100</v>
      </c>
      <c r="T27">
        <v>6.8613591063231101E-3</v>
      </c>
      <c r="U27">
        <v>0.25</v>
      </c>
      <c r="V27">
        <v>0.677920025156592</v>
      </c>
      <c r="W27">
        <v>4.9999999999999902</v>
      </c>
      <c r="X27">
        <v>26.97</v>
      </c>
      <c r="Y27">
        <v>10.25</v>
      </c>
      <c r="Z27">
        <v>0.2409</v>
      </c>
      <c r="AA27">
        <v>6.8610457211052498E-3</v>
      </c>
      <c r="AB27">
        <v>0.7591</v>
      </c>
      <c r="AC27">
        <v>1</v>
      </c>
    </row>
    <row r="28" spans="1:29" x14ac:dyDescent="0.3">
      <c r="A28" s="1">
        <f t="shared" si="2"/>
        <v>45864</v>
      </c>
      <c r="C28" s="3" t="str">
        <f t="shared" si="0"/>
        <v>cohort(26-Jul-25:25-Aug-25)</v>
      </c>
      <c r="D28" s="4">
        <v>45900</v>
      </c>
      <c r="E28">
        <v>3100</v>
      </c>
      <c r="F28">
        <v>0.5</v>
      </c>
      <c r="G28">
        <v>6200</v>
      </c>
      <c r="H28">
        <v>6.3500063500095197E-3</v>
      </c>
      <c r="I28">
        <v>0.5</v>
      </c>
      <c r="J28">
        <v>0.82034299744648997</v>
      </c>
      <c r="K28">
        <v>10</v>
      </c>
      <c r="L28">
        <v>20.51</v>
      </c>
      <c r="M28">
        <v>20.51</v>
      </c>
      <c r="N28">
        <v>0.5</v>
      </c>
      <c r="O28">
        <v>6.3500063500095197E-3</v>
      </c>
      <c r="P28">
        <v>0.5</v>
      </c>
      <c r="Q28">
        <v>525.00545786454597</v>
      </c>
      <c r="R28">
        <v>0.169356599311143</v>
      </c>
      <c r="S28">
        <v>3100</v>
      </c>
      <c r="T28">
        <v>6.7363946895350703E-3</v>
      </c>
      <c r="U28">
        <v>0.25</v>
      </c>
      <c r="V28">
        <v>0.645877895242017</v>
      </c>
      <c r="W28">
        <v>4.9999999999999902</v>
      </c>
      <c r="X28">
        <v>26.97</v>
      </c>
      <c r="Y28">
        <v>10.25</v>
      </c>
      <c r="Z28">
        <v>0.2399</v>
      </c>
      <c r="AA28">
        <v>6.7370817842550999E-3</v>
      </c>
      <c r="AB28">
        <v>0.7601</v>
      </c>
      <c r="AC28">
        <v>1</v>
      </c>
    </row>
    <row r="29" spans="1:29" x14ac:dyDescent="0.3">
      <c r="A29" s="1">
        <f t="shared" si="2"/>
        <v>45865</v>
      </c>
      <c r="C29" s="3" t="str">
        <f t="shared" si="0"/>
        <v>cohort(27-Jul-25:26-Aug-25)</v>
      </c>
      <c r="D29" s="4">
        <v>45900</v>
      </c>
      <c r="E29">
        <v>3100</v>
      </c>
      <c r="F29">
        <v>0.5</v>
      </c>
      <c r="G29">
        <v>6200</v>
      </c>
      <c r="H29">
        <v>6.3500063500095197E-3</v>
      </c>
      <c r="I29">
        <v>0.5</v>
      </c>
      <c r="J29">
        <v>0.78995146104079095</v>
      </c>
      <c r="K29">
        <v>10</v>
      </c>
      <c r="L29">
        <v>20.51</v>
      </c>
      <c r="M29">
        <v>20.51</v>
      </c>
      <c r="N29">
        <v>0.5</v>
      </c>
      <c r="O29">
        <v>6.3500063500095197E-3</v>
      </c>
      <c r="P29">
        <v>0.5</v>
      </c>
      <c r="Q29">
        <v>500.007449615459</v>
      </c>
      <c r="R29">
        <v>0.16129272568240599</v>
      </c>
      <c r="S29">
        <v>3100</v>
      </c>
      <c r="T29">
        <v>6.6058962500116598E-3</v>
      </c>
      <c r="U29">
        <v>0.25</v>
      </c>
      <c r="V29">
        <v>0.613821818634679</v>
      </c>
      <c r="W29">
        <v>4.9999999999999902</v>
      </c>
      <c r="X29">
        <v>26.97</v>
      </c>
      <c r="Y29">
        <v>10.25</v>
      </c>
      <c r="Z29">
        <v>0.23910000000000001</v>
      </c>
      <c r="AA29">
        <v>6.60601656361151E-3</v>
      </c>
      <c r="AB29">
        <v>0.76090000000000002</v>
      </c>
      <c r="AC29">
        <v>1</v>
      </c>
    </row>
    <row r="30" spans="1:29" x14ac:dyDescent="0.3">
      <c r="A30" s="1">
        <f t="shared" si="2"/>
        <v>45866</v>
      </c>
      <c r="C30" s="3" t="str">
        <f t="shared" si="0"/>
        <v>cohort(28-Jul-25:27-Aug-25)</v>
      </c>
      <c r="D30" s="4">
        <v>45900</v>
      </c>
      <c r="E30">
        <v>3100</v>
      </c>
      <c r="F30">
        <v>0.5</v>
      </c>
      <c r="G30">
        <v>6200</v>
      </c>
      <c r="H30">
        <v>6.3500063500095197E-3</v>
      </c>
      <c r="I30">
        <v>0.5</v>
      </c>
      <c r="J30">
        <v>0.75833786732887998</v>
      </c>
      <c r="K30">
        <v>10</v>
      </c>
      <c r="L30">
        <v>20.51</v>
      </c>
      <c r="M30">
        <v>20.51</v>
      </c>
      <c r="N30">
        <v>0.5</v>
      </c>
      <c r="O30">
        <v>6.3500063500095197E-3</v>
      </c>
      <c r="P30">
        <v>0.5</v>
      </c>
      <c r="Q30">
        <v>475.01029472774098</v>
      </c>
      <c r="R30">
        <v>0.15322912733152899</v>
      </c>
      <c r="S30">
        <v>3100</v>
      </c>
      <c r="T30">
        <v>6.4695306173843297E-3</v>
      </c>
      <c r="U30">
        <v>0.25</v>
      </c>
      <c r="V30">
        <v>0.58180805642657796</v>
      </c>
      <c r="W30">
        <v>4.9999999999999902</v>
      </c>
      <c r="X30">
        <v>26.97</v>
      </c>
      <c r="Y30">
        <v>10.25</v>
      </c>
      <c r="Z30">
        <v>0.2384</v>
      </c>
      <c r="AA30">
        <v>6.4690269498139602E-3</v>
      </c>
      <c r="AB30">
        <v>0.76160000000000005</v>
      </c>
      <c r="AC30">
        <v>1</v>
      </c>
    </row>
    <row r="31" spans="1:29" x14ac:dyDescent="0.3">
      <c r="A31" s="1">
        <f t="shared" si="2"/>
        <v>45867</v>
      </c>
      <c r="C31" s="3" t="str">
        <f t="shared" si="0"/>
        <v>cohort(29-Jul-25:28-Aug-25)</v>
      </c>
      <c r="D31" s="4">
        <v>45900</v>
      </c>
      <c r="E31">
        <v>3100</v>
      </c>
      <c r="F31">
        <v>0.5</v>
      </c>
      <c r="G31">
        <v>6200</v>
      </c>
      <c r="H31">
        <v>6.3500063500095197E-3</v>
      </c>
      <c r="I31">
        <v>0.5</v>
      </c>
      <c r="J31">
        <v>0.72625539093275404</v>
      </c>
      <c r="K31">
        <v>10</v>
      </c>
      <c r="L31">
        <v>20.51</v>
      </c>
      <c r="M31">
        <v>20.51</v>
      </c>
      <c r="N31">
        <v>0.5</v>
      </c>
      <c r="O31">
        <v>6.3500063500095197E-3</v>
      </c>
      <c r="P31">
        <v>0.5</v>
      </c>
      <c r="Q31">
        <v>450.014385103145</v>
      </c>
      <c r="R31">
        <v>0.145165930678434</v>
      </c>
      <c r="S31">
        <v>3100</v>
      </c>
      <c r="T31">
        <v>6.3269210584790099E-3</v>
      </c>
      <c r="U31">
        <v>0.25</v>
      </c>
      <c r="V31">
        <v>0.54985888811082495</v>
      </c>
      <c r="W31">
        <v>4.9999999999999902</v>
      </c>
      <c r="X31">
        <v>26.97</v>
      </c>
      <c r="Y31">
        <v>10.25</v>
      </c>
      <c r="Z31">
        <v>0.23799999999999999</v>
      </c>
      <c r="AA31">
        <v>6.3275373592147199E-3</v>
      </c>
      <c r="AB31">
        <v>0.76200000000000001</v>
      </c>
      <c r="AC31">
        <v>1</v>
      </c>
    </row>
    <row r="32" spans="1:29" x14ac:dyDescent="0.3">
      <c r="A32" s="1">
        <f t="shared" si="2"/>
        <v>45868</v>
      </c>
      <c r="C32" s="3" t="str">
        <f t="shared" si="0"/>
        <v>cohort(30-Jul-25:29-Aug-25)</v>
      </c>
      <c r="D32" s="4">
        <v>45900</v>
      </c>
      <c r="E32">
        <v>3100</v>
      </c>
      <c r="F32">
        <v>0.5</v>
      </c>
      <c r="G32">
        <v>6200</v>
      </c>
      <c r="H32">
        <v>6.3500063500095197E-3</v>
      </c>
      <c r="I32">
        <v>0.5</v>
      </c>
      <c r="J32">
        <v>0.69410173942405695</v>
      </c>
      <c r="K32">
        <v>10</v>
      </c>
      <c r="L32">
        <v>20.51</v>
      </c>
      <c r="M32">
        <v>20.51</v>
      </c>
      <c r="N32">
        <v>0.5</v>
      </c>
      <c r="O32">
        <v>6.3500063500095197E-3</v>
      </c>
      <c r="P32">
        <v>0.5</v>
      </c>
      <c r="Q32">
        <v>425.02030507394602</v>
      </c>
      <c r="R32">
        <v>0.13710332421740201</v>
      </c>
      <c r="S32">
        <v>3100</v>
      </c>
      <c r="T32">
        <v>6.1776392480732802E-3</v>
      </c>
      <c r="U32">
        <v>0.25</v>
      </c>
      <c r="V32">
        <v>0.51799239175830403</v>
      </c>
      <c r="W32">
        <v>4.9999999999999902</v>
      </c>
      <c r="X32">
        <v>26.97</v>
      </c>
      <c r="Y32">
        <v>10.25</v>
      </c>
      <c r="Z32">
        <v>0.23769999999999999</v>
      </c>
      <c r="AA32">
        <v>6.17757625506126E-3</v>
      </c>
      <c r="AB32">
        <v>0.76229999999999998</v>
      </c>
      <c r="AC32">
        <v>1</v>
      </c>
    </row>
    <row r="33" spans="1:29" x14ac:dyDescent="0.3">
      <c r="A33" s="1">
        <f t="shared" si="2"/>
        <v>45869</v>
      </c>
      <c r="C33" s="3" t="str">
        <f t="shared" si="0"/>
        <v>cohort(31-Jul-25:30-Aug-25)</v>
      </c>
      <c r="D33" s="4">
        <v>45900</v>
      </c>
      <c r="E33">
        <v>3100</v>
      </c>
      <c r="F33">
        <v>0.5</v>
      </c>
      <c r="G33">
        <v>6200</v>
      </c>
      <c r="H33">
        <v>6.3500063500095197E-3</v>
      </c>
      <c r="I33">
        <v>0.5</v>
      </c>
      <c r="J33">
        <v>0.66196818397569002</v>
      </c>
      <c r="K33">
        <v>10</v>
      </c>
      <c r="L33">
        <v>20.51</v>
      </c>
      <c r="M33">
        <v>20.51</v>
      </c>
      <c r="N33">
        <v>0.5</v>
      </c>
      <c r="O33">
        <v>6.3500063500095197E-3</v>
      </c>
      <c r="P33">
        <v>0.5</v>
      </c>
      <c r="Q33">
        <v>400.02893211775603</v>
      </c>
      <c r="R33">
        <v>0.12904159100572701</v>
      </c>
      <c r="S33">
        <v>3100</v>
      </c>
      <c r="T33">
        <v>6.0211953265229103E-3</v>
      </c>
      <c r="U33">
        <v>0.25</v>
      </c>
      <c r="V33">
        <v>0.48623056074938797</v>
      </c>
      <c r="W33">
        <v>4.9999999999999902</v>
      </c>
      <c r="X33">
        <v>26.97</v>
      </c>
      <c r="Y33">
        <v>10.25</v>
      </c>
      <c r="Z33">
        <v>0.23769999999999999</v>
      </c>
      <c r="AA33">
        <v>6.0203686523067103E-3</v>
      </c>
      <c r="AB33">
        <v>0.76229999999999998</v>
      </c>
      <c r="AC33">
        <v>1</v>
      </c>
    </row>
    <row r="34" spans="1:29" x14ac:dyDescent="0.3">
      <c r="A34" s="1">
        <f t="shared" ref="A34:A59" si="3">A33+1</f>
        <v>45870</v>
      </c>
      <c r="C34" s="3" t="str">
        <f t="shared" si="0"/>
        <v>cohort(1-Aug-25:31-Aug-25)</v>
      </c>
      <c r="D34" s="4">
        <v>45900</v>
      </c>
      <c r="E34">
        <v>3100</v>
      </c>
      <c r="F34">
        <v>0.5</v>
      </c>
      <c r="G34">
        <v>6200</v>
      </c>
      <c r="H34">
        <v>6.3500063500095197E-3</v>
      </c>
      <c r="I34">
        <v>0.5</v>
      </c>
      <c r="J34">
        <v>0.62986429763095497</v>
      </c>
      <c r="K34">
        <v>10</v>
      </c>
      <c r="L34">
        <v>20.51</v>
      </c>
      <c r="M34">
        <v>20.51</v>
      </c>
      <c r="N34">
        <v>0.5</v>
      </c>
      <c r="O34">
        <v>6.3500063500095197E-3</v>
      </c>
      <c r="P34">
        <v>0.5</v>
      </c>
      <c r="Q34">
        <v>375.04159353867101</v>
      </c>
      <c r="R34">
        <v>0.120981159206022</v>
      </c>
      <c r="S34">
        <v>3100</v>
      </c>
      <c r="T34">
        <v>5.8570255118268197E-3</v>
      </c>
      <c r="U34">
        <v>0.25</v>
      </c>
      <c r="V34">
        <v>0.45460104216288399</v>
      </c>
      <c r="W34">
        <v>4.9999999999999902</v>
      </c>
      <c r="X34">
        <v>26.97</v>
      </c>
      <c r="Y34">
        <v>10.25</v>
      </c>
      <c r="Z34">
        <v>0.23780000000000001</v>
      </c>
      <c r="AA34">
        <v>5.8574187863520196E-3</v>
      </c>
      <c r="AB34">
        <v>0.76219999999999999</v>
      </c>
      <c r="AC34">
        <v>1</v>
      </c>
    </row>
    <row r="35" spans="1:29" x14ac:dyDescent="0.3">
      <c r="A35" s="1">
        <f t="shared" si="3"/>
        <v>45871</v>
      </c>
      <c r="C35" s="3" t="str">
        <f t="shared" si="0"/>
        <v>cohort(2-Aug-25:31-Aug-25)</v>
      </c>
      <c r="D35" s="4">
        <v>45900</v>
      </c>
      <c r="E35">
        <v>3000</v>
      </c>
      <c r="F35">
        <v>0.5</v>
      </c>
      <c r="G35">
        <v>6000</v>
      </c>
      <c r="H35">
        <v>6.4549722436790203E-3</v>
      </c>
      <c r="I35">
        <v>0.5</v>
      </c>
      <c r="J35">
        <v>0.61772410694179003</v>
      </c>
      <c r="K35">
        <v>10</v>
      </c>
      <c r="L35">
        <v>20.51</v>
      </c>
      <c r="M35">
        <v>20.51</v>
      </c>
      <c r="N35">
        <v>0.5</v>
      </c>
      <c r="O35">
        <v>6.4549722436790203E-3</v>
      </c>
      <c r="P35">
        <v>0.5</v>
      </c>
      <c r="Q35">
        <v>350.06031195782498</v>
      </c>
      <c r="R35">
        <v>0.116686770652608</v>
      </c>
      <c r="S35">
        <v>3000</v>
      </c>
      <c r="T35">
        <v>5.8614835496164797E-3</v>
      </c>
      <c r="U35">
        <v>0.25</v>
      </c>
      <c r="V35">
        <v>0.43724311333789001</v>
      </c>
      <c r="W35">
        <v>4.9999999999999902</v>
      </c>
      <c r="X35">
        <v>26.97</v>
      </c>
      <c r="Y35">
        <v>10.25</v>
      </c>
      <c r="Z35">
        <v>0.2384</v>
      </c>
      <c r="AA35">
        <v>5.8617719164088897E-3</v>
      </c>
      <c r="AB35">
        <v>0.76160000000000005</v>
      </c>
      <c r="AC35">
        <v>1</v>
      </c>
    </row>
    <row r="36" spans="1:29" x14ac:dyDescent="0.3">
      <c r="A36" s="1">
        <f t="shared" si="3"/>
        <v>45872</v>
      </c>
      <c r="C36" s="3" t="str">
        <f t="shared" si="0"/>
        <v>cohort(3-Aug-25:31-Aug-25)</v>
      </c>
      <c r="D36" s="4">
        <v>45900</v>
      </c>
      <c r="E36">
        <v>2900</v>
      </c>
      <c r="F36">
        <v>0.5</v>
      </c>
      <c r="G36">
        <v>5800</v>
      </c>
      <c r="H36">
        <v>6.5653216429861199E-3</v>
      </c>
      <c r="I36">
        <v>0.5</v>
      </c>
      <c r="J36">
        <v>0.60479636599273301</v>
      </c>
      <c r="K36">
        <v>10</v>
      </c>
      <c r="L36">
        <v>20.51</v>
      </c>
      <c r="M36">
        <v>20.51</v>
      </c>
      <c r="N36">
        <v>0.5</v>
      </c>
      <c r="O36">
        <v>6.5653216429861199E-3</v>
      </c>
      <c r="P36">
        <v>0.5</v>
      </c>
      <c r="Q36">
        <v>325.08819265118302</v>
      </c>
      <c r="R36">
        <v>0.11209937677626999</v>
      </c>
      <c r="S36">
        <v>2900</v>
      </c>
      <c r="T36">
        <v>5.8584776916004297E-3</v>
      </c>
      <c r="U36">
        <v>0.25</v>
      </c>
      <c r="V36">
        <v>0.418912845404182</v>
      </c>
      <c r="W36">
        <v>4.9999999999999902</v>
      </c>
      <c r="X36">
        <v>26.97</v>
      </c>
      <c r="Y36">
        <v>10.25</v>
      </c>
      <c r="Z36">
        <v>0.23910000000000001</v>
      </c>
      <c r="AA36">
        <v>5.8584919208109201E-3</v>
      </c>
      <c r="AB36">
        <v>0.76090000000000002</v>
      </c>
      <c r="AC36">
        <v>1</v>
      </c>
    </row>
    <row r="37" spans="1:29" x14ac:dyDescent="0.3">
      <c r="A37" s="1">
        <f t="shared" si="3"/>
        <v>45873</v>
      </c>
      <c r="C37" s="3" t="str">
        <f t="shared" si="0"/>
        <v>cohort(4-Aug-25:31-Aug-25)</v>
      </c>
      <c r="D37" s="4">
        <v>45900</v>
      </c>
      <c r="E37">
        <v>2800</v>
      </c>
      <c r="F37">
        <v>0.5</v>
      </c>
      <c r="G37">
        <v>5600</v>
      </c>
      <c r="H37">
        <v>6.6815310478106097E-3</v>
      </c>
      <c r="I37">
        <v>0.5</v>
      </c>
      <c r="J37">
        <v>0.59100981994815105</v>
      </c>
      <c r="K37">
        <v>10</v>
      </c>
      <c r="L37">
        <v>20.51</v>
      </c>
      <c r="M37">
        <v>20.51</v>
      </c>
      <c r="N37">
        <v>0.5</v>
      </c>
      <c r="O37">
        <v>6.6815310478106097E-3</v>
      </c>
      <c r="P37">
        <v>0.5</v>
      </c>
      <c r="Q37">
        <v>300.13003881748699</v>
      </c>
      <c r="R37">
        <v>0.10718929957767399</v>
      </c>
      <c r="S37">
        <v>2800</v>
      </c>
      <c r="T37">
        <v>5.8462366904372702E-3</v>
      </c>
      <c r="U37">
        <v>0.25</v>
      </c>
      <c r="V37">
        <v>0.39956562759428799</v>
      </c>
      <c r="W37">
        <v>4.9999999999999902</v>
      </c>
      <c r="X37">
        <v>26.97</v>
      </c>
      <c r="Y37">
        <v>10.25</v>
      </c>
      <c r="Z37">
        <v>0.23980000000000001</v>
      </c>
      <c r="AA37">
        <v>5.8464934545662201E-3</v>
      </c>
      <c r="AB37">
        <v>0.76019999999999999</v>
      </c>
      <c r="AC37">
        <v>1</v>
      </c>
    </row>
    <row r="38" spans="1:29" x14ac:dyDescent="0.3">
      <c r="A38" s="1">
        <f t="shared" si="3"/>
        <v>45874</v>
      </c>
      <c r="C38" s="3" t="str">
        <f t="shared" si="0"/>
        <v>cohort(5-Aug-25:31-Aug-25)</v>
      </c>
      <c r="D38" s="4">
        <v>45900</v>
      </c>
      <c r="E38">
        <v>2700</v>
      </c>
      <c r="F38">
        <v>0.5</v>
      </c>
      <c r="G38">
        <v>5400</v>
      </c>
      <c r="H38">
        <v>6.8041381743977102E-3</v>
      </c>
      <c r="I38">
        <v>0.5</v>
      </c>
      <c r="J38">
        <v>0.57628625709483094</v>
      </c>
      <c r="K38">
        <v>10</v>
      </c>
      <c r="L38">
        <v>20.51</v>
      </c>
      <c r="M38">
        <v>20.51</v>
      </c>
      <c r="N38">
        <v>0.5</v>
      </c>
      <c r="O38">
        <v>6.8041381743977102E-3</v>
      </c>
      <c r="P38">
        <v>0.5</v>
      </c>
      <c r="Q38">
        <v>275.19333503296298</v>
      </c>
      <c r="R38">
        <v>0.101923457419616</v>
      </c>
      <c r="S38">
        <v>2700</v>
      </c>
      <c r="T38">
        <v>5.82253178504587E-3</v>
      </c>
      <c r="U38">
        <v>0.25</v>
      </c>
      <c r="V38">
        <v>0.37916481787399797</v>
      </c>
      <c r="W38">
        <v>4.9999999999999902</v>
      </c>
      <c r="X38">
        <v>26.97</v>
      </c>
      <c r="Y38">
        <v>10.25</v>
      </c>
      <c r="Z38">
        <v>0.24060000000000001</v>
      </c>
      <c r="AA38">
        <v>5.8219377581059098E-3</v>
      </c>
      <c r="AB38">
        <v>0.75939999999999996</v>
      </c>
      <c r="AC38">
        <v>1</v>
      </c>
    </row>
    <row r="39" spans="1:29" x14ac:dyDescent="0.3">
      <c r="A39" s="1">
        <f t="shared" si="3"/>
        <v>45875</v>
      </c>
      <c r="C39" s="3" t="str">
        <f t="shared" si="0"/>
        <v>cohort(6-Aug-25:31-Aug-25)</v>
      </c>
      <c r="D39" s="4">
        <v>45900</v>
      </c>
      <c r="E39">
        <v>2600</v>
      </c>
      <c r="F39">
        <v>0.5</v>
      </c>
      <c r="G39">
        <v>5200</v>
      </c>
      <c r="H39">
        <v>6.9337524528153604E-3</v>
      </c>
      <c r="I39">
        <v>0.5</v>
      </c>
      <c r="J39">
        <v>0.56054017809572798</v>
      </c>
      <c r="K39">
        <v>10</v>
      </c>
      <c r="L39">
        <v>20.51</v>
      </c>
      <c r="M39">
        <v>20.51</v>
      </c>
      <c r="N39">
        <v>0.5</v>
      </c>
      <c r="O39">
        <v>6.9337524528153604E-3</v>
      </c>
      <c r="P39">
        <v>0.5</v>
      </c>
      <c r="Q39">
        <v>250.289827887549</v>
      </c>
      <c r="R39">
        <v>9.6265318418288004E-2</v>
      </c>
      <c r="S39">
        <v>2600</v>
      </c>
      <c r="T39">
        <v>5.7845386388768296E-3</v>
      </c>
      <c r="U39">
        <v>0.25</v>
      </c>
      <c r="V39">
        <v>0.35768618193495699</v>
      </c>
      <c r="W39">
        <v>4.9999999999999902</v>
      </c>
      <c r="X39">
        <v>26.97</v>
      </c>
      <c r="Y39">
        <v>10.25</v>
      </c>
      <c r="Z39">
        <v>0.24149999999999999</v>
      </c>
      <c r="AA39">
        <v>5.7854695308425597E-3</v>
      </c>
      <c r="AB39">
        <v>0.75849999999999995</v>
      </c>
      <c r="AC39">
        <v>1</v>
      </c>
    </row>
    <row r="40" spans="1:29" x14ac:dyDescent="0.3">
      <c r="A40" s="1">
        <f t="shared" si="3"/>
        <v>45876</v>
      </c>
      <c r="C40" s="3" t="str">
        <f t="shared" si="0"/>
        <v>cohort(7-Aug-25:31-Aug-25)</v>
      </c>
      <c r="D40" s="4">
        <v>45900</v>
      </c>
      <c r="E40">
        <v>2500</v>
      </c>
      <c r="F40">
        <v>0.5</v>
      </c>
      <c r="G40">
        <v>5000</v>
      </c>
      <c r="H40">
        <v>7.0710678118654701E-3</v>
      </c>
      <c r="I40">
        <v>0.5</v>
      </c>
      <c r="J40">
        <v>0.54367866439568802</v>
      </c>
      <c r="K40">
        <v>10</v>
      </c>
      <c r="L40">
        <v>20.51</v>
      </c>
      <c r="M40">
        <v>20.51</v>
      </c>
      <c r="N40">
        <v>0.5</v>
      </c>
      <c r="O40">
        <v>7.0710678118654701E-3</v>
      </c>
      <c r="P40">
        <v>0.5</v>
      </c>
      <c r="Q40">
        <v>225.438077429901</v>
      </c>
      <c r="R40">
        <v>9.0175230971960604E-2</v>
      </c>
      <c r="S40">
        <v>2500</v>
      </c>
      <c r="T40">
        <v>5.7286528500551997E-3</v>
      </c>
      <c r="U40">
        <v>0.25</v>
      </c>
      <c r="V40">
        <v>0.33512362770896198</v>
      </c>
      <c r="W40">
        <v>4.9999999999999902</v>
      </c>
      <c r="X40">
        <v>26.97</v>
      </c>
      <c r="Y40">
        <v>10.25</v>
      </c>
      <c r="Z40">
        <v>0.2424</v>
      </c>
      <c r="AA40">
        <v>5.7293615700180697E-3</v>
      </c>
      <c r="AB40">
        <v>0.75760000000000005</v>
      </c>
      <c r="AC40">
        <v>1</v>
      </c>
    </row>
    <row r="41" spans="1:29" x14ac:dyDescent="0.3">
      <c r="A41" s="1">
        <f t="shared" si="3"/>
        <v>45877</v>
      </c>
      <c r="C41" s="3" t="str">
        <f t="shared" si="0"/>
        <v>cohort(8-Aug-25:31-Aug-25)</v>
      </c>
      <c r="D41" s="4">
        <v>45900</v>
      </c>
      <c r="E41">
        <v>2400</v>
      </c>
      <c r="F41">
        <v>0.5</v>
      </c>
      <c r="G41">
        <v>4800</v>
      </c>
      <c r="H41">
        <v>7.2168783648703201E-3</v>
      </c>
      <c r="I41">
        <v>0.5</v>
      </c>
      <c r="J41">
        <v>0.52560157476655101</v>
      </c>
      <c r="K41">
        <v>10</v>
      </c>
      <c r="L41">
        <v>20.51</v>
      </c>
      <c r="M41">
        <v>20.51</v>
      </c>
      <c r="N41">
        <v>0.5</v>
      </c>
      <c r="O41">
        <v>7.2168783648703201E-3</v>
      </c>
      <c r="P41">
        <v>0.5</v>
      </c>
      <c r="Q41">
        <v>200.66758604887499</v>
      </c>
      <c r="R41">
        <v>8.3611494187031496E-2</v>
      </c>
      <c r="S41">
        <v>2400</v>
      </c>
      <c r="T41">
        <v>5.6502438084137701E-3</v>
      </c>
      <c r="U41">
        <v>0.25</v>
      </c>
      <c r="V41">
        <v>0.31149642606261302</v>
      </c>
      <c r="W41">
        <v>4.9999999999999902</v>
      </c>
      <c r="X41">
        <v>26.97</v>
      </c>
      <c r="Y41">
        <v>10.25</v>
      </c>
      <c r="Z41">
        <v>0.24340000000000001</v>
      </c>
      <c r="AA41">
        <v>5.649890854403E-3</v>
      </c>
      <c r="AB41">
        <v>0.75660000000000005</v>
      </c>
      <c r="AC41">
        <v>1</v>
      </c>
    </row>
    <row r="42" spans="1:29" x14ac:dyDescent="0.3">
      <c r="A42" s="1">
        <f t="shared" si="3"/>
        <v>45878</v>
      </c>
      <c r="C42" s="3" t="str">
        <f t="shared" si="0"/>
        <v>cohort(9-Aug-25:31-Aug-25)</v>
      </c>
      <c r="D42" s="4">
        <v>45900</v>
      </c>
      <c r="E42">
        <v>2300</v>
      </c>
      <c r="F42">
        <v>0.5</v>
      </c>
      <c r="G42">
        <v>4600</v>
      </c>
      <c r="H42">
        <v>7.3720978077448504E-3</v>
      </c>
      <c r="I42">
        <v>0.5</v>
      </c>
      <c r="J42">
        <v>0.506202256778568</v>
      </c>
      <c r="K42">
        <v>10</v>
      </c>
      <c r="L42">
        <v>20.51</v>
      </c>
      <c r="M42">
        <v>20.51</v>
      </c>
      <c r="N42">
        <v>0.5</v>
      </c>
      <c r="O42">
        <v>7.3720978077448504E-3</v>
      </c>
      <c r="P42">
        <v>0.5</v>
      </c>
      <c r="Q42">
        <v>176.02547827208701</v>
      </c>
      <c r="R42">
        <v>7.6532816640037998E-2</v>
      </c>
      <c r="S42">
        <v>2300</v>
      </c>
      <c r="T42">
        <v>5.5433291134158397E-3</v>
      </c>
      <c r="U42">
        <v>0.25</v>
      </c>
      <c r="V42">
        <v>0.286858036940835</v>
      </c>
      <c r="W42">
        <v>4.9999999999999902</v>
      </c>
      <c r="X42">
        <v>26.97</v>
      </c>
      <c r="Y42">
        <v>10.25</v>
      </c>
      <c r="Z42">
        <v>0.24440000000000001</v>
      </c>
      <c r="AA42">
        <v>5.5422389919127599E-3</v>
      </c>
      <c r="AB42">
        <v>0.75560000000000005</v>
      </c>
      <c r="AC42">
        <v>1</v>
      </c>
    </row>
    <row r="43" spans="1:29" x14ac:dyDescent="0.3">
      <c r="A43" s="1">
        <f t="shared" si="3"/>
        <v>45879</v>
      </c>
      <c r="C43" s="3" t="str">
        <f t="shared" si="0"/>
        <v>cohort(10-Aug-25:31-Aug-25)</v>
      </c>
      <c r="D43" s="4">
        <v>45900</v>
      </c>
      <c r="E43">
        <v>2200</v>
      </c>
      <c r="F43">
        <v>0.5</v>
      </c>
      <c r="G43">
        <v>4400</v>
      </c>
      <c r="H43">
        <v>7.5377836144440904E-3</v>
      </c>
      <c r="I43">
        <v>0.5</v>
      </c>
      <c r="J43">
        <v>0.48536903976435403</v>
      </c>
      <c r="K43">
        <v>10</v>
      </c>
      <c r="L43">
        <v>20.51</v>
      </c>
      <c r="M43">
        <v>20.51</v>
      </c>
      <c r="N43">
        <v>0.5</v>
      </c>
      <c r="O43">
        <v>7.5377836144440904E-3</v>
      </c>
      <c r="P43">
        <v>0.5</v>
      </c>
      <c r="Q43">
        <v>151.58725788471301</v>
      </c>
      <c r="R43">
        <v>6.8903299038505894E-2</v>
      </c>
      <c r="S43">
        <v>2200</v>
      </c>
      <c r="T43">
        <v>5.4001529616431896E-3</v>
      </c>
      <c r="U43">
        <v>0.25</v>
      </c>
      <c r="V43">
        <v>0.26130650865142901</v>
      </c>
      <c r="W43">
        <v>4.9999999999999902</v>
      </c>
      <c r="X43">
        <v>26.97</v>
      </c>
      <c r="Y43">
        <v>10.25</v>
      </c>
      <c r="Z43">
        <v>0.24540000000000001</v>
      </c>
      <c r="AA43">
        <v>5.4000332490558803E-3</v>
      </c>
      <c r="AB43">
        <v>0.75460000000000005</v>
      </c>
      <c r="AC43">
        <v>1</v>
      </c>
    </row>
    <row r="44" spans="1:29" x14ac:dyDescent="0.3">
      <c r="A44" s="1">
        <f t="shared" si="3"/>
        <v>45880</v>
      </c>
      <c r="C44" s="3" t="str">
        <f t="shared" si="0"/>
        <v>cohort(11-Aug-25:31-Aug-25)</v>
      </c>
      <c r="D44" s="4">
        <v>45900</v>
      </c>
      <c r="E44">
        <v>2100</v>
      </c>
      <c r="F44">
        <v>0.5</v>
      </c>
      <c r="G44">
        <v>4200</v>
      </c>
      <c r="H44">
        <v>7.7151674981045899E-3</v>
      </c>
      <c r="I44">
        <v>0.5</v>
      </c>
      <c r="J44">
        <v>0.462987884041973</v>
      </c>
      <c r="K44">
        <v>10</v>
      </c>
      <c r="L44">
        <v>20.51</v>
      </c>
      <c r="M44">
        <v>20.51</v>
      </c>
      <c r="N44">
        <v>0.5</v>
      </c>
      <c r="O44">
        <v>7.7151674981045899E-3</v>
      </c>
      <c r="P44">
        <v>0.5</v>
      </c>
      <c r="Q44">
        <v>127.473932107431</v>
      </c>
      <c r="R44">
        <v>6.0701872432110199E-2</v>
      </c>
      <c r="S44">
        <v>2100</v>
      </c>
      <c r="T44">
        <v>5.2106646644552801E-3</v>
      </c>
      <c r="U44">
        <v>0.25</v>
      </c>
      <c r="V44">
        <v>0.23499614622848899</v>
      </c>
      <c r="W44">
        <v>4.9999999999999902</v>
      </c>
      <c r="X44">
        <v>26.97</v>
      </c>
      <c r="Y44">
        <v>10.25</v>
      </c>
      <c r="Z44">
        <v>0.24640000000000001</v>
      </c>
      <c r="AA44">
        <v>5.2105894922880704E-3</v>
      </c>
      <c r="AB44">
        <v>0.75360000000000005</v>
      </c>
      <c r="AC44">
        <v>1</v>
      </c>
    </row>
    <row r="45" spans="1:29" x14ac:dyDescent="0.3">
      <c r="A45" s="1">
        <f t="shared" si="3"/>
        <v>45881</v>
      </c>
      <c r="C45" s="3" t="str">
        <f t="shared" si="0"/>
        <v>cohort(12-Aug-25:31-Aug-25)</v>
      </c>
      <c r="D45" s="4">
        <v>45900</v>
      </c>
      <c r="E45">
        <v>2000</v>
      </c>
      <c r="F45">
        <v>0.5</v>
      </c>
      <c r="G45">
        <v>4000</v>
      </c>
      <c r="H45">
        <v>7.9056941504209392E-3</v>
      </c>
      <c r="I45">
        <v>0.5</v>
      </c>
      <c r="J45">
        <v>0.43894670448262801</v>
      </c>
      <c r="K45">
        <v>10</v>
      </c>
      <c r="L45">
        <v>20.51</v>
      </c>
      <c r="M45">
        <v>20.51</v>
      </c>
      <c r="N45">
        <v>0.5</v>
      </c>
      <c r="O45">
        <v>7.9056941504209392E-3</v>
      </c>
      <c r="P45">
        <v>0.5</v>
      </c>
      <c r="Q45">
        <v>103.878645226709</v>
      </c>
      <c r="R45">
        <v>5.1939322613354801E-2</v>
      </c>
      <c r="S45">
        <v>2000</v>
      </c>
      <c r="T45">
        <v>4.9619365866474304E-3</v>
      </c>
      <c r="U45">
        <v>0.25</v>
      </c>
      <c r="V45">
        <v>0.20814970557651599</v>
      </c>
      <c r="W45">
        <v>4.9999999999999902</v>
      </c>
      <c r="X45">
        <v>26.97</v>
      </c>
      <c r="Y45">
        <v>10.25</v>
      </c>
      <c r="Z45">
        <v>0.24729999999999999</v>
      </c>
      <c r="AA45">
        <v>4.96016078368433E-3</v>
      </c>
      <c r="AB45">
        <v>0.75270000000000004</v>
      </c>
      <c r="AC45">
        <v>1</v>
      </c>
    </row>
    <row r="46" spans="1:29" x14ac:dyDescent="0.3">
      <c r="A46" s="1">
        <f t="shared" si="3"/>
        <v>45882</v>
      </c>
      <c r="C46" s="3" t="str">
        <f t="shared" si="0"/>
        <v>cohort(13-Aug-25:31-Aug-25)</v>
      </c>
      <c r="D46" s="4">
        <v>45900</v>
      </c>
      <c r="E46">
        <v>1900</v>
      </c>
      <c r="F46">
        <v>0.5</v>
      </c>
      <c r="G46">
        <v>3800</v>
      </c>
      <c r="H46">
        <v>8.1110710565381206E-3</v>
      </c>
      <c r="I46">
        <v>0.5</v>
      </c>
      <c r="J46">
        <v>0.41314207001243303</v>
      </c>
      <c r="K46">
        <v>10</v>
      </c>
      <c r="L46">
        <v>20.51</v>
      </c>
      <c r="M46">
        <v>20.51</v>
      </c>
      <c r="N46">
        <v>0.5</v>
      </c>
      <c r="O46">
        <v>8.1110710565381206E-3</v>
      </c>
      <c r="P46">
        <v>0.5</v>
      </c>
      <c r="Q46">
        <v>81.106303569697502</v>
      </c>
      <c r="R46">
        <v>4.2687528194577599E-2</v>
      </c>
      <c r="S46">
        <v>1900</v>
      </c>
      <c r="T46">
        <v>4.6376776817267798E-3</v>
      </c>
      <c r="U46">
        <v>0.25</v>
      </c>
      <c r="V46">
        <v>0.18106971769717001</v>
      </c>
      <c r="W46">
        <v>4.9999999999999902</v>
      </c>
      <c r="X46">
        <v>26.97</v>
      </c>
      <c r="Y46">
        <v>10.25</v>
      </c>
      <c r="Z46">
        <v>0.24809999999999999</v>
      </c>
      <c r="AA46">
        <v>4.6383249018085004E-3</v>
      </c>
      <c r="AB46">
        <v>0.75190000000000001</v>
      </c>
      <c r="AC46">
        <v>1</v>
      </c>
    </row>
    <row r="47" spans="1:29" x14ac:dyDescent="0.3">
      <c r="A47" s="1">
        <f t="shared" si="3"/>
        <v>45883</v>
      </c>
      <c r="C47" s="3" t="str">
        <f t="shared" si="0"/>
        <v>cohort(14-Aug-25:31-Aug-25)</v>
      </c>
      <c r="D47" s="4">
        <v>45900</v>
      </c>
      <c r="E47">
        <v>1800</v>
      </c>
      <c r="F47">
        <v>0.5</v>
      </c>
      <c r="G47">
        <v>3600</v>
      </c>
      <c r="H47">
        <v>8.3333333333333297E-3</v>
      </c>
      <c r="I47">
        <v>0.5</v>
      </c>
      <c r="J47">
        <v>0.38548920355309602</v>
      </c>
      <c r="K47">
        <v>10</v>
      </c>
      <c r="L47">
        <v>20.51</v>
      </c>
      <c r="M47">
        <v>20.51</v>
      </c>
      <c r="N47">
        <v>0.5</v>
      </c>
      <c r="O47">
        <v>8.3333333333333297E-3</v>
      </c>
      <c r="P47">
        <v>0.5</v>
      </c>
      <c r="Q47">
        <v>59.627565651173903</v>
      </c>
      <c r="R47">
        <v>3.3126425361763301E-2</v>
      </c>
      <c r="S47">
        <v>1800</v>
      </c>
      <c r="T47">
        <v>4.2182846240118596E-3</v>
      </c>
      <c r="U47">
        <v>0.25</v>
      </c>
      <c r="V47">
        <v>0.15414665902786401</v>
      </c>
      <c r="W47">
        <v>4.9999999999999902</v>
      </c>
      <c r="X47">
        <v>26.97</v>
      </c>
      <c r="Y47">
        <v>10.25</v>
      </c>
      <c r="Z47">
        <v>0.24879999999999999</v>
      </c>
      <c r="AA47">
        <v>4.2166594202836197E-3</v>
      </c>
      <c r="AB47">
        <v>0.75119999999999998</v>
      </c>
      <c r="AC47">
        <v>1</v>
      </c>
    </row>
    <row r="48" spans="1:29" x14ac:dyDescent="0.3">
      <c r="A48" s="1">
        <f t="shared" si="3"/>
        <v>45884</v>
      </c>
      <c r="C48" s="3" t="str">
        <f t="shared" si="0"/>
        <v>cohort(15-Aug-25:31-Aug-25)</v>
      </c>
      <c r="D48" s="4">
        <v>45900</v>
      </c>
      <c r="E48">
        <v>1700</v>
      </c>
      <c r="F48">
        <v>0.5</v>
      </c>
      <c r="G48">
        <v>3400</v>
      </c>
      <c r="H48">
        <v>8.5749292571254392E-3</v>
      </c>
      <c r="I48">
        <v>0.5</v>
      </c>
      <c r="J48">
        <v>0.355936454049953</v>
      </c>
      <c r="K48">
        <v>10</v>
      </c>
      <c r="L48">
        <v>20.51</v>
      </c>
      <c r="M48">
        <v>20.51</v>
      </c>
      <c r="N48">
        <v>0.5</v>
      </c>
      <c r="O48">
        <v>8.5749292571254392E-3</v>
      </c>
      <c r="P48">
        <v>0.5</v>
      </c>
      <c r="Q48">
        <v>40.138896766406504</v>
      </c>
      <c r="R48">
        <v>2.3611115744945E-2</v>
      </c>
      <c r="S48">
        <v>1700</v>
      </c>
      <c r="T48">
        <v>3.6825207924994102E-3</v>
      </c>
      <c r="U48">
        <v>0.25</v>
      </c>
      <c r="V48">
        <v>0.12786060255463899</v>
      </c>
      <c r="W48">
        <v>4.9999999999999902</v>
      </c>
      <c r="X48">
        <v>26.97</v>
      </c>
      <c r="Y48">
        <v>10.25</v>
      </c>
      <c r="Z48">
        <v>0.24929999999999999</v>
      </c>
      <c r="AA48">
        <v>3.6816748107029599E-3</v>
      </c>
      <c r="AB48">
        <v>0.75070000000000003</v>
      </c>
      <c r="AC48">
        <v>1</v>
      </c>
    </row>
    <row r="49" spans="1:29" x14ac:dyDescent="0.3">
      <c r="A49" s="1">
        <f t="shared" si="3"/>
        <v>45885</v>
      </c>
      <c r="C49" s="3" t="str">
        <f t="shared" si="0"/>
        <v>cohort(16-Aug-25:31-Aug-25)</v>
      </c>
      <c r="D49" s="4">
        <v>45900</v>
      </c>
      <c r="E49">
        <v>1600</v>
      </c>
      <c r="F49">
        <v>0.5</v>
      </c>
      <c r="G49">
        <v>3200</v>
      </c>
      <c r="H49">
        <v>8.8388347648318405E-3</v>
      </c>
      <c r="I49">
        <v>0.5</v>
      </c>
      <c r="J49">
        <v>0.32448563763176602</v>
      </c>
      <c r="K49">
        <v>10</v>
      </c>
      <c r="L49">
        <v>20.51</v>
      </c>
      <c r="M49">
        <v>20.51</v>
      </c>
      <c r="N49">
        <v>0.5</v>
      </c>
      <c r="O49">
        <v>8.8388347648318405E-3</v>
      </c>
      <c r="P49">
        <v>0.5</v>
      </c>
      <c r="Q49">
        <v>23.591955271368299</v>
      </c>
      <c r="R49">
        <v>1.47449720446052E-2</v>
      </c>
      <c r="S49">
        <v>1600</v>
      </c>
      <c r="T49">
        <v>3.0132579797464499E-3</v>
      </c>
      <c r="U49">
        <v>0.25</v>
      </c>
      <c r="V49">
        <v>0.102771893531538</v>
      </c>
      <c r="W49">
        <v>4.9999999999999902</v>
      </c>
      <c r="X49">
        <v>26.97</v>
      </c>
      <c r="Y49">
        <v>10.25</v>
      </c>
      <c r="Z49">
        <v>0.24970000000000001</v>
      </c>
      <c r="AA49">
        <v>3.0087279288762499E-3</v>
      </c>
      <c r="AB49">
        <v>0.75029999999999997</v>
      </c>
      <c r="AC49">
        <v>1</v>
      </c>
    </row>
    <row r="50" spans="1:29" x14ac:dyDescent="0.3">
      <c r="A50" s="1">
        <f t="shared" si="3"/>
        <v>45886</v>
      </c>
      <c r="C50" s="3" t="str">
        <f t="shared" si="0"/>
        <v>cohort(17-Aug-25:31-Aug-25)</v>
      </c>
      <c r="D50" s="4">
        <v>45900</v>
      </c>
      <c r="E50">
        <v>1500</v>
      </c>
      <c r="F50">
        <v>0.5</v>
      </c>
      <c r="G50">
        <v>3000</v>
      </c>
      <c r="H50">
        <v>9.1287092917527596E-3</v>
      </c>
      <c r="I50">
        <v>0.5</v>
      </c>
      <c r="J50">
        <v>0.29121974217525698</v>
      </c>
      <c r="K50">
        <v>10</v>
      </c>
      <c r="L50">
        <v>20.51</v>
      </c>
      <c r="M50">
        <v>20.51</v>
      </c>
      <c r="N50">
        <v>0.5</v>
      </c>
      <c r="O50">
        <v>9.1287092917527596E-3</v>
      </c>
      <c r="P50">
        <v>0.5</v>
      </c>
      <c r="Q50">
        <v>11.0919552588683</v>
      </c>
      <c r="R50">
        <v>7.3946368392455797E-3</v>
      </c>
      <c r="S50">
        <v>1500</v>
      </c>
      <c r="T50">
        <v>2.21208140074173E-3</v>
      </c>
      <c r="U50">
        <v>0.25</v>
      </c>
      <c r="V50">
        <v>7.9495675818515701E-2</v>
      </c>
      <c r="W50">
        <v>4.9999999999999902</v>
      </c>
      <c r="X50">
        <v>26.97</v>
      </c>
      <c r="Y50">
        <v>10.25</v>
      </c>
      <c r="Z50">
        <v>0.24990000000000001</v>
      </c>
      <c r="AA50">
        <v>2.2128774630933898E-3</v>
      </c>
      <c r="AB50">
        <v>0.75009999999999999</v>
      </c>
      <c r="AC50">
        <v>1</v>
      </c>
    </row>
    <row r="51" spans="1:29" x14ac:dyDescent="0.3">
      <c r="A51" s="1">
        <f t="shared" si="3"/>
        <v>45887</v>
      </c>
      <c r="C51" s="3" t="str">
        <f t="shared" si="0"/>
        <v>cohort(18-Aug-25:31-Aug-25)</v>
      </c>
      <c r="D51" s="4">
        <v>45900</v>
      </c>
      <c r="E51">
        <v>1400</v>
      </c>
      <c r="F51">
        <v>0.5</v>
      </c>
      <c r="G51">
        <v>2800</v>
      </c>
      <c r="H51">
        <v>9.4491118252306803E-3</v>
      </c>
      <c r="I51">
        <v>0.5</v>
      </c>
      <c r="J51">
        <v>0.25633924123129698</v>
      </c>
      <c r="K51">
        <v>10</v>
      </c>
      <c r="L51">
        <v>20.51</v>
      </c>
      <c r="M51">
        <v>20.51</v>
      </c>
      <c r="N51">
        <v>0.5</v>
      </c>
      <c r="O51">
        <v>9.4491118252306803E-3</v>
      </c>
      <c r="P51">
        <v>0.5</v>
      </c>
      <c r="Q51">
        <v>3.4758788112414201</v>
      </c>
      <c r="R51">
        <v>2.4827705794581599E-3</v>
      </c>
      <c r="S51">
        <v>1400</v>
      </c>
      <c r="T51">
        <v>1.33003931996333E-3</v>
      </c>
      <c r="U51">
        <v>0.25</v>
      </c>
      <c r="V51">
        <v>5.8655335228276102E-2</v>
      </c>
      <c r="W51">
        <v>4.9999999999999902</v>
      </c>
      <c r="X51">
        <v>26.97</v>
      </c>
      <c r="Y51">
        <v>10.25</v>
      </c>
      <c r="Z51">
        <v>0.25</v>
      </c>
      <c r="AA51">
        <v>1.3346347815039101E-3</v>
      </c>
      <c r="AB51">
        <v>0.75</v>
      </c>
      <c r="AC51">
        <v>1</v>
      </c>
    </row>
    <row r="52" spans="1:29" x14ac:dyDescent="0.3">
      <c r="A52" s="1">
        <f t="shared" si="3"/>
        <v>45888</v>
      </c>
      <c r="C52" s="3" t="str">
        <f t="shared" si="0"/>
        <v>cohort(19-Aug-25:31-Aug-25)</v>
      </c>
      <c r="D52" s="4">
        <v>45900</v>
      </c>
      <c r="E52">
        <v>1300</v>
      </c>
      <c r="F52">
        <v>0.5</v>
      </c>
      <c r="G52">
        <v>2600</v>
      </c>
      <c r="H52">
        <v>9.8058067569092005E-3</v>
      </c>
      <c r="I52">
        <v>0.5</v>
      </c>
      <c r="J52">
        <v>0.22020726206740501</v>
      </c>
      <c r="K52">
        <v>10</v>
      </c>
      <c r="L52">
        <v>20.51</v>
      </c>
      <c r="M52">
        <v>20.51</v>
      </c>
      <c r="N52">
        <v>0.5</v>
      </c>
      <c r="O52">
        <v>9.8058067569092005E-3</v>
      </c>
      <c r="P52">
        <v>0.5</v>
      </c>
      <c r="Q52">
        <v>0.45089459736491</v>
      </c>
      <c r="R52">
        <v>3.4684199797300802E-4</v>
      </c>
      <c r="S52">
        <v>1300</v>
      </c>
      <c r="T52">
        <v>5.1643876589988098E-4</v>
      </c>
      <c r="U52">
        <v>0.25</v>
      </c>
      <c r="V52">
        <v>4.0812796656481298E-2</v>
      </c>
      <c r="W52">
        <v>4.9999999999999902</v>
      </c>
      <c r="X52">
        <v>26.97</v>
      </c>
      <c r="Y52">
        <v>10.25</v>
      </c>
      <c r="Z52">
        <v>0.25</v>
      </c>
      <c r="AA52">
        <v>4.8031239834091298E-4</v>
      </c>
      <c r="AB52">
        <v>0.75</v>
      </c>
      <c r="AC52">
        <v>1</v>
      </c>
    </row>
    <row r="53" spans="1:29" x14ac:dyDescent="0.3">
      <c r="A53" s="1">
        <f t="shared" si="3"/>
        <v>45889</v>
      </c>
      <c r="C53" s="3" t="str">
        <f t="shared" si="0"/>
        <v>cohort(20-Aug-25:31-Aug-25)</v>
      </c>
      <c r="D53" s="4">
        <v>45900</v>
      </c>
      <c r="E53">
        <v>1200</v>
      </c>
      <c r="F53">
        <v>0.5</v>
      </c>
      <c r="G53">
        <v>2400</v>
      </c>
      <c r="H53">
        <v>1.02062072615965E-2</v>
      </c>
      <c r="I53">
        <v>0.5</v>
      </c>
      <c r="J53">
        <v>0.18340139558956101</v>
      </c>
      <c r="K53">
        <v>10</v>
      </c>
      <c r="L53">
        <v>20.51</v>
      </c>
      <c r="M53">
        <v>20.51</v>
      </c>
      <c r="N53">
        <v>0.5</v>
      </c>
      <c r="O53">
        <v>1.02062072615965E-2</v>
      </c>
      <c r="P53">
        <v>0.5</v>
      </c>
      <c r="Q53">
        <v>2.8451122828065901E-3</v>
      </c>
      <c r="R53">
        <v>2.37092690233882E-6</v>
      </c>
      <c r="S53">
        <v>1200</v>
      </c>
      <c r="T53">
        <v>4.4449608931954699E-5</v>
      </c>
      <c r="U53">
        <v>0.25</v>
      </c>
      <c r="V53">
        <v>2.6379236717747501E-2</v>
      </c>
      <c r="W53">
        <v>4.9999999999999902</v>
      </c>
      <c r="X53">
        <v>26.97</v>
      </c>
      <c r="Y53">
        <v>10.25</v>
      </c>
      <c r="Z53">
        <v>0.25</v>
      </c>
      <c r="AA53">
        <v>0</v>
      </c>
      <c r="AB53">
        <v>0.75</v>
      </c>
      <c r="AC53">
        <v>1</v>
      </c>
    </row>
    <row r="54" spans="1:29" x14ac:dyDescent="0.3">
      <c r="A54" s="1">
        <f t="shared" si="3"/>
        <v>45890</v>
      </c>
      <c r="C54" s="3" t="str">
        <f t="shared" si="0"/>
        <v>cohort(21-Aug-25:31-Aug-25)</v>
      </c>
      <c r="D54" s="4">
        <v>45900</v>
      </c>
      <c r="E54">
        <v>1100</v>
      </c>
      <c r="F54">
        <v>0.5</v>
      </c>
      <c r="G54">
        <v>2200</v>
      </c>
      <c r="H54">
        <v>1.06600358177805E-2</v>
      </c>
      <c r="I54">
        <v>0.5</v>
      </c>
      <c r="J54">
        <v>0.146764935782348</v>
      </c>
      <c r="K54">
        <v>10</v>
      </c>
      <c r="L54">
        <v>20.51</v>
      </c>
      <c r="M54">
        <v>20.51</v>
      </c>
      <c r="N54">
        <v>0.5</v>
      </c>
      <c r="O54">
        <v>1.06600358177805E-2</v>
      </c>
      <c r="P54">
        <v>0.5</v>
      </c>
      <c r="Q54">
        <v>0</v>
      </c>
      <c r="R54">
        <v>0</v>
      </c>
      <c r="S54">
        <v>1100</v>
      </c>
      <c r="T54">
        <v>0</v>
      </c>
      <c r="U54">
        <v>0.25</v>
      </c>
      <c r="V54">
        <v>1.5520351149803701E-2</v>
      </c>
      <c r="W54">
        <v>4.9999999999999902</v>
      </c>
      <c r="X54">
        <v>26.97</v>
      </c>
      <c r="Y54">
        <v>10.25</v>
      </c>
      <c r="Z54">
        <v>0.25</v>
      </c>
      <c r="AA54">
        <v>0</v>
      </c>
      <c r="AB54">
        <v>0.75</v>
      </c>
      <c r="AC54">
        <v>1</v>
      </c>
    </row>
    <row r="55" spans="1:29" x14ac:dyDescent="0.3">
      <c r="A55" s="1">
        <f t="shared" si="3"/>
        <v>45891</v>
      </c>
      <c r="C55" s="3" t="str">
        <f t="shared" si="0"/>
        <v>cohort(22-Aug-25:31-Aug-25)</v>
      </c>
      <c r="D55" s="4">
        <v>45900</v>
      </c>
      <c r="E55">
        <v>1000</v>
      </c>
      <c r="F55">
        <v>0.5</v>
      </c>
      <c r="G55">
        <v>2000</v>
      </c>
      <c r="H55">
        <v>1.11803398874989E-2</v>
      </c>
      <c r="I55">
        <v>0.5</v>
      </c>
      <c r="J55">
        <v>0.111441429310583</v>
      </c>
      <c r="K55">
        <v>10</v>
      </c>
      <c r="L55">
        <v>20.51</v>
      </c>
      <c r="M55">
        <v>20.51</v>
      </c>
      <c r="N55">
        <v>0.5</v>
      </c>
      <c r="O55">
        <v>1.11803398874989E-2</v>
      </c>
      <c r="P55">
        <v>0.5</v>
      </c>
      <c r="Q55">
        <v>0</v>
      </c>
      <c r="R55">
        <v>0</v>
      </c>
      <c r="S55">
        <v>1000</v>
      </c>
      <c r="T55">
        <v>0</v>
      </c>
      <c r="U55">
        <v>0.25</v>
      </c>
      <c r="V55">
        <v>8.0831377268856999E-3</v>
      </c>
      <c r="W55">
        <v>4.9999999999999902</v>
      </c>
      <c r="X55">
        <v>26.97</v>
      </c>
      <c r="Y55">
        <v>10.25</v>
      </c>
      <c r="Z55">
        <v>0.25</v>
      </c>
      <c r="AA55">
        <v>0</v>
      </c>
      <c r="AB55">
        <v>0.75</v>
      </c>
      <c r="AC55">
        <v>1</v>
      </c>
    </row>
    <row r="56" spans="1:29" x14ac:dyDescent="0.3">
      <c r="A56" s="1">
        <f t="shared" si="3"/>
        <v>45892</v>
      </c>
      <c r="C56" s="3" t="str">
        <f t="shared" si="0"/>
        <v>cohort(23-Aug-25:31-Aug-25)</v>
      </c>
      <c r="D56" s="4">
        <v>45900</v>
      </c>
      <c r="E56">
        <v>900</v>
      </c>
      <c r="F56">
        <v>0.5</v>
      </c>
      <c r="G56">
        <v>1800</v>
      </c>
      <c r="H56">
        <v>1.17851130197757E-2</v>
      </c>
      <c r="I56">
        <v>0.5</v>
      </c>
      <c r="J56">
        <v>7.88622968062163E-2</v>
      </c>
      <c r="K56">
        <v>10</v>
      </c>
      <c r="L56">
        <v>20.51</v>
      </c>
      <c r="M56">
        <v>20.51</v>
      </c>
      <c r="N56">
        <v>0.5</v>
      </c>
      <c r="O56">
        <v>1.17851130197757E-2</v>
      </c>
      <c r="P56">
        <v>0.5</v>
      </c>
      <c r="Q56">
        <v>0</v>
      </c>
      <c r="R56">
        <v>0</v>
      </c>
      <c r="S56">
        <v>900</v>
      </c>
      <c r="T56">
        <v>0</v>
      </c>
      <c r="U56">
        <v>0.25</v>
      </c>
      <c r="V56">
        <v>3.5813563567802299E-3</v>
      </c>
      <c r="W56">
        <v>4.9999999999999902</v>
      </c>
      <c r="X56">
        <v>26.97</v>
      </c>
      <c r="Y56">
        <v>10.25</v>
      </c>
      <c r="Z56">
        <v>0.25</v>
      </c>
      <c r="AA56">
        <v>0</v>
      </c>
      <c r="AB56">
        <v>0.75</v>
      </c>
      <c r="AC56">
        <v>1</v>
      </c>
    </row>
    <row r="57" spans="1:29" x14ac:dyDescent="0.3">
      <c r="A57" s="1">
        <f t="shared" si="3"/>
        <v>45893</v>
      </c>
      <c r="C57" s="3" t="str">
        <f t="shared" si="0"/>
        <v>cohort(24-Aug-25:31-Aug-25)</v>
      </c>
      <c r="D57" s="4">
        <v>45900</v>
      </c>
      <c r="E57">
        <v>800</v>
      </c>
      <c r="F57">
        <v>0.5</v>
      </c>
      <c r="G57">
        <v>1600</v>
      </c>
      <c r="H57">
        <v>1.2500000000000001E-2</v>
      </c>
      <c r="I57">
        <v>0.5</v>
      </c>
      <c r="J57">
        <v>5.0639701668858499E-2</v>
      </c>
      <c r="K57">
        <v>10</v>
      </c>
      <c r="L57">
        <v>20.51</v>
      </c>
      <c r="M57">
        <v>20.51</v>
      </c>
      <c r="N57">
        <v>0.5</v>
      </c>
      <c r="O57">
        <v>1.2500000000000001E-2</v>
      </c>
      <c r="P57">
        <v>0.5</v>
      </c>
      <c r="Q57">
        <v>0</v>
      </c>
      <c r="R57">
        <v>0</v>
      </c>
      <c r="S57">
        <v>800</v>
      </c>
      <c r="T57">
        <v>0</v>
      </c>
      <c r="U57">
        <v>0.25</v>
      </c>
      <c r="V57">
        <v>1.2729155044876399E-3</v>
      </c>
      <c r="W57">
        <v>4.9999999999999902</v>
      </c>
      <c r="X57">
        <v>26.97</v>
      </c>
      <c r="Y57">
        <v>10.25</v>
      </c>
      <c r="Z57">
        <v>0.25</v>
      </c>
      <c r="AA57">
        <v>0</v>
      </c>
      <c r="AB57">
        <v>0.75</v>
      </c>
      <c r="AC57">
        <v>1</v>
      </c>
    </row>
    <row r="58" spans="1:29" x14ac:dyDescent="0.3">
      <c r="A58" s="1">
        <f t="shared" si="3"/>
        <v>45894</v>
      </c>
      <c r="C58" s="3" t="str">
        <f t="shared" si="0"/>
        <v>cohort(25-Aug-25:31-Aug-25)</v>
      </c>
      <c r="D58" s="4">
        <v>45900</v>
      </c>
      <c r="E58">
        <v>700</v>
      </c>
      <c r="F58">
        <v>0.5</v>
      </c>
      <c r="G58">
        <v>1400</v>
      </c>
      <c r="H58">
        <v>1.33630620956212E-2</v>
      </c>
      <c r="I58">
        <v>0.5</v>
      </c>
      <c r="J58">
        <v>2.8305018177006602E-2</v>
      </c>
      <c r="K58">
        <v>10</v>
      </c>
      <c r="L58">
        <v>20.51</v>
      </c>
      <c r="M58">
        <v>20.51</v>
      </c>
      <c r="N58">
        <v>0.5</v>
      </c>
      <c r="O58">
        <v>1.33630620956212E-2</v>
      </c>
      <c r="P58">
        <v>0.5</v>
      </c>
      <c r="Q58">
        <v>0</v>
      </c>
      <c r="R58">
        <v>0</v>
      </c>
      <c r="S58">
        <v>700</v>
      </c>
      <c r="T58">
        <v>0</v>
      </c>
      <c r="U58">
        <v>0.25</v>
      </c>
      <c r="V58">
        <v>3.3123664848067801E-4</v>
      </c>
      <c r="W58">
        <v>4.9999999999999902</v>
      </c>
      <c r="X58">
        <v>26.97</v>
      </c>
      <c r="Y58">
        <v>10.25</v>
      </c>
      <c r="Z58">
        <v>0.25</v>
      </c>
      <c r="AA58">
        <v>0</v>
      </c>
      <c r="AB58">
        <v>0.75</v>
      </c>
      <c r="AC58">
        <v>1</v>
      </c>
    </row>
    <row r="59" spans="1:29" x14ac:dyDescent="0.3">
      <c r="A59" s="1">
        <f t="shared" si="3"/>
        <v>45895</v>
      </c>
      <c r="C59" s="3" t="str">
        <f t="shared" si="0"/>
        <v>cohort(26-Aug-25:31-Aug-25)</v>
      </c>
      <c r="D59" s="4">
        <v>45900</v>
      </c>
      <c r="E59">
        <v>600</v>
      </c>
      <c r="F59">
        <v>0.5</v>
      </c>
      <c r="G59">
        <v>1200</v>
      </c>
      <c r="H59">
        <v>1.44337567297406E-2</v>
      </c>
      <c r="I59">
        <v>0.5</v>
      </c>
      <c r="J59">
        <v>1.2855959780664301E-2</v>
      </c>
      <c r="K59">
        <v>10</v>
      </c>
      <c r="L59">
        <v>20.51</v>
      </c>
      <c r="M59">
        <v>20.51</v>
      </c>
      <c r="N59">
        <v>0.5</v>
      </c>
      <c r="O59">
        <v>1.44337567297406E-2</v>
      </c>
      <c r="P59">
        <v>0.5</v>
      </c>
      <c r="Q59">
        <v>0</v>
      </c>
      <c r="R59">
        <v>0</v>
      </c>
      <c r="S59">
        <v>600</v>
      </c>
      <c r="T59">
        <v>0</v>
      </c>
      <c r="U59">
        <v>0.25</v>
      </c>
      <c r="V59">
        <v>5.4177131494442803E-5</v>
      </c>
      <c r="W59">
        <v>4.9999999999999902</v>
      </c>
      <c r="X59">
        <v>26.97</v>
      </c>
      <c r="Y59">
        <v>10.25</v>
      </c>
      <c r="Z59">
        <v>0.25</v>
      </c>
      <c r="AA59">
        <v>0</v>
      </c>
      <c r="AB59">
        <v>0.75</v>
      </c>
      <c r="AC59">
        <v>1</v>
      </c>
    </row>
    <row r="60" spans="1:29" x14ac:dyDescent="0.3">
      <c r="A60" s="1"/>
      <c r="D60" s="1"/>
    </row>
    <row r="61" spans="1:29" x14ac:dyDescent="0.3">
      <c r="A61" s="1"/>
      <c r="D61" s="1"/>
    </row>
    <row r="62" spans="1:29" x14ac:dyDescent="0.3">
      <c r="A62" s="1"/>
      <c r="D62" s="1"/>
    </row>
    <row r="63" spans="1:29" x14ac:dyDescent="0.3">
      <c r="A63" s="1"/>
      <c r="D63" s="1"/>
    </row>
    <row r="64" spans="1:29" x14ac:dyDescent="0.3">
      <c r="A64" s="1"/>
      <c r="D64" s="1"/>
    </row>
    <row r="65" spans="1:4" x14ac:dyDescent="0.3">
      <c r="A65" s="1"/>
      <c r="D65" s="1"/>
    </row>
    <row r="66" spans="1:4" x14ac:dyDescent="0.3">
      <c r="A66" s="1"/>
      <c r="D66" s="1"/>
    </row>
    <row r="67" spans="1:4" x14ac:dyDescent="0.3">
      <c r="A67" s="1"/>
      <c r="D67" s="1"/>
    </row>
    <row r="68" spans="1:4" x14ac:dyDescent="0.3">
      <c r="A68" s="1"/>
      <c r="D68" s="1"/>
    </row>
    <row r="69" spans="1:4" x14ac:dyDescent="0.3">
      <c r="A69" s="1"/>
      <c r="D69" s="1"/>
    </row>
    <row r="70" spans="1:4" x14ac:dyDescent="0.3">
      <c r="A70" s="1"/>
      <c r="D70" s="1"/>
    </row>
    <row r="71" spans="1:4" x14ac:dyDescent="0.3">
      <c r="A71" s="1"/>
      <c r="D71" s="1"/>
    </row>
    <row r="72" spans="1:4" x14ac:dyDescent="0.3">
      <c r="A72" s="1"/>
      <c r="D72" s="1"/>
    </row>
    <row r="73" spans="1:4" x14ac:dyDescent="0.3">
      <c r="A73" s="1"/>
      <c r="D73" s="1"/>
    </row>
    <row r="74" spans="1:4" x14ac:dyDescent="0.3">
      <c r="A74" s="1"/>
      <c r="D74" s="1"/>
    </row>
    <row r="75" spans="1:4" x14ac:dyDescent="0.3">
      <c r="A75" s="1"/>
      <c r="D75" s="1"/>
    </row>
    <row r="76" spans="1:4" x14ac:dyDescent="0.3">
      <c r="A76" s="1"/>
      <c r="D76" s="1"/>
    </row>
    <row r="77" spans="1:4" x14ac:dyDescent="0.3">
      <c r="A77" s="1"/>
      <c r="D77" s="1"/>
    </row>
    <row r="78" spans="1:4" x14ac:dyDescent="0.3">
      <c r="A78" s="1"/>
      <c r="D78" s="1"/>
    </row>
    <row r="81" spans="22:23" x14ac:dyDescent="0.3">
      <c r="V81" s="6">
        <f>MIN(Z3:Z59)</f>
        <v>0.23769999999999999</v>
      </c>
      <c r="W81" s="6">
        <f>(V81-0.25)/0.25</f>
        <v>-4.9200000000000021E-2</v>
      </c>
    </row>
    <row r="82" spans="22:23" x14ac:dyDescent="0.3">
      <c r="V82" s="6">
        <f>MAX(Z3:Z59)</f>
        <v>0.2555</v>
      </c>
      <c r="W82" s="6">
        <f>(V82-0.25)/0.25</f>
        <v>2.200000000000002E-2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58CC5-5BAA-47AB-AA2E-1CA65D243B9D}">
  <sheetPr codeName="Sheet5"/>
  <dimension ref="A1:AA58"/>
  <sheetViews>
    <sheetView workbookViewId="0"/>
  </sheetViews>
  <sheetFormatPr defaultRowHeight="14.4" x14ac:dyDescent="0.3"/>
  <cols>
    <col min="1" max="1" width="25.109375" bestFit="1" customWidth="1"/>
    <col min="2" max="2" width="10.21875" bestFit="1" customWidth="1"/>
    <col min="3" max="3" width="16.33203125" bestFit="1" customWidth="1"/>
    <col min="4" max="4" width="20.109375" bestFit="1" customWidth="1"/>
    <col min="5" max="5" width="16.44140625" bestFit="1" customWidth="1"/>
    <col min="6" max="6" width="19.88671875" bestFit="1" customWidth="1"/>
    <col min="7" max="7" width="19.6640625" bestFit="1" customWidth="1"/>
    <col min="8" max="8" width="25.6640625" bestFit="1" customWidth="1"/>
    <col min="9" max="9" width="28.44140625" bestFit="1" customWidth="1"/>
    <col min="10" max="10" width="21.6640625" bestFit="1" customWidth="1"/>
    <col min="11" max="11" width="16.77734375" bestFit="1" customWidth="1"/>
    <col min="12" max="12" width="12.109375" bestFit="1" customWidth="1"/>
    <col min="13" max="13" width="12" bestFit="1" customWidth="1"/>
    <col min="14" max="14" width="12.21875" bestFit="1" customWidth="1"/>
    <col min="15" max="15" width="16.33203125" bestFit="1" customWidth="1"/>
    <col min="16" max="16" width="20.109375" bestFit="1" customWidth="1"/>
    <col min="17" max="17" width="16.44140625" bestFit="1" customWidth="1"/>
    <col min="18" max="18" width="19.88671875" bestFit="1" customWidth="1"/>
    <col min="19" max="19" width="19.6640625" bestFit="1" customWidth="1"/>
    <col min="20" max="20" width="25.6640625" bestFit="1" customWidth="1"/>
    <col min="21" max="21" width="28.44140625" bestFit="1" customWidth="1"/>
    <col min="22" max="22" width="21.6640625" bestFit="1" customWidth="1"/>
    <col min="23" max="23" width="16.77734375" bestFit="1" customWidth="1"/>
    <col min="24" max="24" width="12.109375" bestFit="1" customWidth="1"/>
    <col min="25" max="26" width="12" bestFit="1" customWidth="1"/>
    <col min="27" max="27" width="19.88671875" bestFit="1" customWidth="1"/>
  </cols>
  <sheetData>
    <row r="1" spans="1:27" x14ac:dyDescent="0.3">
      <c r="A1" t="s">
        <v>0</v>
      </c>
      <c r="B1" t="s">
        <v>1</v>
      </c>
      <c r="C1" t="s">
        <v>93</v>
      </c>
      <c r="D1" t="s">
        <v>17</v>
      </c>
      <c r="E1" t="s">
        <v>94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95</v>
      </c>
      <c r="P1" t="s">
        <v>27</v>
      </c>
      <c r="Q1" t="s">
        <v>96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</row>
    <row r="2" spans="1:27" x14ac:dyDescent="0.3">
      <c r="A2" t="s">
        <v>2</v>
      </c>
      <c r="B2" s="1">
        <v>45900</v>
      </c>
      <c r="C2">
        <v>3100</v>
      </c>
      <c r="D2">
        <v>0.5</v>
      </c>
      <c r="E2">
        <v>6200</v>
      </c>
      <c r="F2">
        <v>6.3500063500095197E-3</v>
      </c>
      <c r="G2">
        <v>0.5</v>
      </c>
      <c r="H2">
        <v>0.99917122939784897</v>
      </c>
      <c r="I2">
        <v>10</v>
      </c>
      <c r="J2">
        <v>20.51</v>
      </c>
      <c r="K2">
        <v>20.51</v>
      </c>
      <c r="L2">
        <v>0.5</v>
      </c>
      <c r="M2">
        <v>6.3500063500095197E-3</v>
      </c>
      <c r="N2">
        <v>0.5</v>
      </c>
      <c r="O2">
        <v>774.95887547765699</v>
      </c>
      <c r="P2">
        <v>0.24998673402505001</v>
      </c>
      <c r="Q2">
        <v>3100</v>
      </c>
      <c r="R2">
        <v>7.7770001438596699E-3</v>
      </c>
      <c r="S2">
        <v>0.25</v>
      </c>
      <c r="T2">
        <v>0.99701469750277705</v>
      </c>
      <c r="U2">
        <v>4.9999999999999902</v>
      </c>
      <c r="V2">
        <v>26.97</v>
      </c>
      <c r="W2">
        <v>10.25</v>
      </c>
      <c r="X2">
        <v>0.25040000000000001</v>
      </c>
      <c r="Y2">
        <v>7.7771377104781797E-3</v>
      </c>
      <c r="Z2">
        <v>0.74960000000000004</v>
      </c>
      <c r="AA2">
        <v>1</v>
      </c>
    </row>
    <row r="3" spans="1:27" x14ac:dyDescent="0.3">
      <c r="A3" t="s">
        <v>38</v>
      </c>
      <c r="B3" s="1">
        <v>45900</v>
      </c>
      <c r="C3">
        <v>3100</v>
      </c>
      <c r="D3">
        <v>0.5</v>
      </c>
      <c r="E3">
        <v>6200</v>
      </c>
      <c r="F3">
        <v>6.3500063500095197E-3</v>
      </c>
      <c r="G3">
        <v>0.5</v>
      </c>
      <c r="H3">
        <v>0.99898049591601401</v>
      </c>
      <c r="I3">
        <v>10</v>
      </c>
      <c r="J3">
        <v>20.51</v>
      </c>
      <c r="K3">
        <v>20.51</v>
      </c>
      <c r="L3">
        <v>0.5</v>
      </c>
      <c r="M3">
        <v>6.3500063500095197E-3</v>
      </c>
      <c r="N3">
        <v>0.5</v>
      </c>
      <c r="O3">
        <v>774.94015836374001</v>
      </c>
      <c r="P3">
        <v>0.24998069624636701</v>
      </c>
      <c r="Q3">
        <v>3100</v>
      </c>
      <c r="R3">
        <v>7.7769375295733698E-3</v>
      </c>
      <c r="S3">
        <v>0.25</v>
      </c>
      <c r="T3">
        <v>0.99621983887344201</v>
      </c>
      <c r="U3">
        <v>4.9999999999999902</v>
      </c>
      <c r="V3">
        <v>26.97</v>
      </c>
      <c r="W3">
        <v>10.25</v>
      </c>
      <c r="X3">
        <v>0.2505</v>
      </c>
      <c r="Y3">
        <v>7.7771377104781797E-3</v>
      </c>
      <c r="Z3">
        <v>0.74950000000000006</v>
      </c>
      <c r="AA3">
        <v>1</v>
      </c>
    </row>
    <row r="4" spans="1:27" x14ac:dyDescent="0.3">
      <c r="A4" t="s">
        <v>39</v>
      </c>
      <c r="B4" s="1">
        <v>45900</v>
      </c>
      <c r="C4">
        <v>3100</v>
      </c>
      <c r="D4">
        <v>0.5</v>
      </c>
      <c r="E4">
        <v>6200</v>
      </c>
      <c r="F4">
        <v>6.3500063500095197E-3</v>
      </c>
      <c r="G4">
        <v>0.5</v>
      </c>
      <c r="H4">
        <v>0.99874336427473098</v>
      </c>
      <c r="I4">
        <v>10</v>
      </c>
      <c r="J4">
        <v>20.51</v>
      </c>
      <c r="K4">
        <v>20.51</v>
      </c>
      <c r="L4">
        <v>0.5</v>
      </c>
      <c r="M4">
        <v>6.3500063500095197E-3</v>
      </c>
      <c r="N4">
        <v>0.5</v>
      </c>
      <c r="O4">
        <v>774.91227934331198</v>
      </c>
      <c r="P4">
        <v>0.24997170301397101</v>
      </c>
      <c r="Q4">
        <v>3100</v>
      </c>
      <c r="R4">
        <v>7.77684426225964E-3</v>
      </c>
      <c r="S4">
        <v>0.25</v>
      </c>
      <c r="T4">
        <v>0.99521487894488003</v>
      </c>
      <c r="U4">
        <v>4.9999999999999902</v>
      </c>
      <c r="V4">
        <v>26.97</v>
      </c>
      <c r="W4">
        <v>10.25</v>
      </c>
      <c r="X4">
        <v>0.25059999999999999</v>
      </c>
      <c r="Y4">
        <v>7.7771377104781797E-3</v>
      </c>
      <c r="Z4">
        <v>0.74939999999999996</v>
      </c>
      <c r="AA4">
        <v>1</v>
      </c>
    </row>
    <row r="5" spans="1:27" x14ac:dyDescent="0.3">
      <c r="A5" t="s">
        <v>40</v>
      </c>
      <c r="B5" s="1">
        <v>45900</v>
      </c>
      <c r="C5">
        <v>3100</v>
      </c>
      <c r="D5">
        <v>0.5</v>
      </c>
      <c r="E5">
        <v>6200</v>
      </c>
      <c r="F5">
        <v>6.3500063500095197E-3</v>
      </c>
      <c r="G5">
        <v>0.5</v>
      </c>
      <c r="H5">
        <v>0.99844799794766304</v>
      </c>
      <c r="I5">
        <v>10</v>
      </c>
      <c r="J5">
        <v>20.51</v>
      </c>
      <c r="K5">
        <v>20.51</v>
      </c>
      <c r="L5">
        <v>0.5</v>
      </c>
      <c r="M5">
        <v>6.3500063500095197E-3</v>
      </c>
      <c r="N5">
        <v>0.5</v>
      </c>
      <c r="O5">
        <v>774.87043532756502</v>
      </c>
      <c r="P5">
        <v>0.24995820494437501</v>
      </c>
      <c r="Q5">
        <v>3100</v>
      </c>
      <c r="R5">
        <v>7.7767042676345601E-3</v>
      </c>
      <c r="S5">
        <v>0.25</v>
      </c>
      <c r="T5">
        <v>0.99394605273852299</v>
      </c>
      <c r="U5">
        <v>4.9999999999999902</v>
      </c>
      <c r="V5">
        <v>26.97</v>
      </c>
      <c r="W5">
        <v>10.25</v>
      </c>
      <c r="X5">
        <v>0.25069999999999998</v>
      </c>
      <c r="Y5">
        <v>7.7771377104781797E-3</v>
      </c>
      <c r="Z5">
        <v>0.74929999999999997</v>
      </c>
      <c r="AA5">
        <v>1</v>
      </c>
    </row>
    <row r="6" spans="1:27" x14ac:dyDescent="0.3">
      <c r="A6" t="s">
        <v>41</v>
      </c>
      <c r="B6" s="1">
        <v>45900</v>
      </c>
      <c r="C6">
        <v>3100</v>
      </c>
      <c r="D6">
        <v>0.5</v>
      </c>
      <c r="E6">
        <v>6200</v>
      </c>
      <c r="F6">
        <v>6.3500063500095197E-3</v>
      </c>
      <c r="G6">
        <v>0.5</v>
      </c>
      <c r="H6">
        <v>0.99807942921483706</v>
      </c>
      <c r="I6">
        <v>10</v>
      </c>
      <c r="J6">
        <v>20.51</v>
      </c>
      <c r="K6">
        <v>20.51</v>
      </c>
      <c r="L6">
        <v>0.5</v>
      </c>
      <c r="M6">
        <v>6.3500063500095197E-3</v>
      </c>
      <c r="N6">
        <v>0.5</v>
      </c>
      <c r="O6">
        <v>774.80714188505601</v>
      </c>
      <c r="P6">
        <v>0.249937787704857</v>
      </c>
      <c r="Q6">
        <v>3100</v>
      </c>
      <c r="R6">
        <v>7.7764924919968498E-3</v>
      </c>
      <c r="S6">
        <v>0.25</v>
      </c>
      <c r="T6">
        <v>0.99234690835544104</v>
      </c>
      <c r="U6">
        <v>4.9999999999999902</v>
      </c>
      <c r="V6">
        <v>26.97</v>
      </c>
      <c r="W6">
        <v>10.25</v>
      </c>
      <c r="X6">
        <v>0.25090000000000001</v>
      </c>
      <c r="Y6">
        <v>7.7761004822261203E-3</v>
      </c>
      <c r="Z6">
        <v>0.74909999999999999</v>
      </c>
      <c r="AA6">
        <v>1</v>
      </c>
    </row>
    <row r="7" spans="1:27" x14ac:dyDescent="0.3">
      <c r="A7" t="s">
        <v>42</v>
      </c>
      <c r="B7" s="1">
        <v>45900</v>
      </c>
      <c r="C7">
        <v>3100</v>
      </c>
      <c r="D7">
        <v>0.5</v>
      </c>
      <c r="E7">
        <v>6200</v>
      </c>
      <c r="F7">
        <v>6.3500063500095197E-3</v>
      </c>
      <c r="G7">
        <v>0.5</v>
      </c>
      <c r="H7">
        <v>0.99761871527975798</v>
      </c>
      <c r="I7">
        <v>10</v>
      </c>
      <c r="J7">
        <v>20.51</v>
      </c>
      <c r="K7">
        <v>20.51</v>
      </c>
      <c r="L7">
        <v>0.5</v>
      </c>
      <c r="M7">
        <v>6.3500063500095197E-3</v>
      </c>
      <c r="N7">
        <v>0.5</v>
      </c>
      <c r="O7">
        <v>774.71065261716797</v>
      </c>
      <c r="P7">
        <v>0.24990666213457</v>
      </c>
      <c r="Q7">
        <v>3100</v>
      </c>
      <c r="R7">
        <v>7.7761696009673699E-3</v>
      </c>
      <c r="S7">
        <v>0.25</v>
      </c>
      <c r="T7">
        <v>0.99033587178321902</v>
      </c>
      <c r="U7">
        <v>4.9999999999999902</v>
      </c>
      <c r="V7">
        <v>26.97</v>
      </c>
      <c r="W7">
        <v>10.25</v>
      </c>
      <c r="X7">
        <v>0.25119999999999998</v>
      </c>
      <c r="Y7">
        <v>7.7761004822261203E-3</v>
      </c>
      <c r="Z7">
        <v>0.74880000000000002</v>
      </c>
      <c r="AA7">
        <v>1</v>
      </c>
    </row>
    <row r="8" spans="1:27" x14ac:dyDescent="0.3">
      <c r="A8" t="s">
        <v>43</v>
      </c>
      <c r="B8" s="1">
        <v>45900</v>
      </c>
      <c r="C8">
        <v>3100</v>
      </c>
      <c r="D8">
        <v>0.5</v>
      </c>
      <c r="E8">
        <v>6200</v>
      </c>
      <c r="F8">
        <v>6.3500063500095197E-3</v>
      </c>
      <c r="G8">
        <v>0.5</v>
      </c>
      <c r="H8">
        <v>0.99704186994107202</v>
      </c>
      <c r="I8">
        <v>10</v>
      </c>
      <c r="J8">
        <v>20.51</v>
      </c>
      <c r="K8">
        <v>20.51</v>
      </c>
      <c r="L8">
        <v>0.5</v>
      </c>
      <c r="M8">
        <v>6.3500063500095197E-3</v>
      </c>
      <c r="N8">
        <v>0.5</v>
      </c>
      <c r="O8">
        <v>774.56240772895296</v>
      </c>
      <c r="P8">
        <v>0.24985884120288801</v>
      </c>
      <c r="Q8">
        <v>3100</v>
      </c>
      <c r="R8">
        <v>7.7756734108462401E-3</v>
      </c>
      <c r="S8">
        <v>0.25</v>
      </c>
      <c r="T8">
        <v>0.98781362676685402</v>
      </c>
      <c r="U8">
        <v>4.9999999999999902</v>
      </c>
      <c r="V8">
        <v>26.97</v>
      </c>
      <c r="W8">
        <v>10.25</v>
      </c>
      <c r="X8">
        <v>0.2515</v>
      </c>
      <c r="Y8">
        <v>7.7761004822261203E-3</v>
      </c>
      <c r="Z8">
        <v>0.74850000000000005</v>
      </c>
      <c r="AA8">
        <v>1</v>
      </c>
    </row>
    <row r="9" spans="1:27" x14ac:dyDescent="0.3">
      <c r="A9" t="s">
        <v>44</v>
      </c>
      <c r="B9" s="1">
        <v>45900</v>
      </c>
      <c r="C9">
        <v>3100</v>
      </c>
      <c r="D9">
        <v>0.5</v>
      </c>
      <c r="E9">
        <v>6200</v>
      </c>
      <c r="F9">
        <v>6.3500063500095197E-3</v>
      </c>
      <c r="G9">
        <v>0.5</v>
      </c>
      <c r="H9">
        <v>0.99631851596850396</v>
      </c>
      <c r="I9">
        <v>10</v>
      </c>
      <c r="J9">
        <v>20.51</v>
      </c>
      <c r="K9">
        <v>20.51</v>
      </c>
      <c r="L9">
        <v>0.5</v>
      </c>
      <c r="M9">
        <v>6.3500063500095197E-3</v>
      </c>
      <c r="N9">
        <v>0.5</v>
      </c>
      <c r="O9">
        <v>774.33290516920897</v>
      </c>
      <c r="P9">
        <v>0.24978480811909901</v>
      </c>
      <c r="Q9">
        <v>3100</v>
      </c>
      <c r="R9">
        <v>7.7749049937563099E-3</v>
      </c>
      <c r="S9">
        <v>0.25</v>
      </c>
      <c r="T9">
        <v>0.98466045485859399</v>
      </c>
      <c r="U9">
        <v>4.9999999999999902</v>
      </c>
      <c r="V9">
        <v>26.97</v>
      </c>
      <c r="W9">
        <v>10.25</v>
      </c>
      <c r="X9">
        <v>0.25180000000000002</v>
      </c>
      <c r="Y9">
        <v>7.7750627007118003E-3</v>
      </c>
      <c r="Z9">
        <v>0.74819999999999998</v>
      </c>
      <c r="AA9">
        <v>1</v>
      </c>
    </row>
    <row r="10" spans="1:27" x14ac:dyDescent="0.3">
      <c r="A10" t="s">
        <v>45</v>
      </c>
      <c r="B10" s="1">
        <v>45900</v>
      </c>
      <c r="C10">
        <v>3100</v>
      </c>
      <c r="D10">
        <v>0.5</v>
      </c>
      <c r="E10">
        <v>6200</v>
      </c>
      <c r="F10">
        <v>6.3500063500095197E-3</v>
      </c>
      <c r="G10">
        <v>0.5</v>
      </c>
      <c r="H10">
        <v>0.99541019374639095</v>
      </c>
      <c r="I10">
        <v>10</v>
      </c>
      <c r="J10">
        <v>20.51</v>
      </c>
      <c r="K10">
        <v>20.51</v>
      </c>
      <c r="L10">
        <v>0.5</v>
      </c>
      <c r="M10">
        <v>6.3500063500095197E-3</v>
      </c>
      <c r="N10">
        <v>0.5</v>
      </c>
      <c r="O10">
        <v>773.97502086135501</v>
      </c>
      <c r="P10">
        <v>0.24966936156817901</v>
      </c>
      <c r="Q10">
        <v>3100</v>
      </c>
      <c r="R10">
        <v>7.7737061253515399E-3</v>
      </c>
      <c r="S10">
        <v>0.25</v>
      </c>
      <c r="T10">
        <v>0.98073378298146896</v>
      </c>
      <c r="U10">
        <v>4.9999999999999902</v>
      </c>
      <c r="V10">
        <v>26.97</v>
      </c>
      <c r="W10">
        <v>10.25</v>
      </c>
      <c r="X10">
        <v>0.25219999999999998</v>
      </c>
      <c r="Y10">
        <v>7.7740243657136599E-3</v>
      </c>
      <c r="Z10">
        <v>0.74780000000000002</v>
      </c>
      <c r="AA10">
        <v>1</v>
      </c>
    </row>
    <row r="11" spans="1:27" x14ac:dyDescent="0.3">
      <c r="A11" t="s">
        <v>46</v>
      </c>
      <c r="B11" s="1">
        <v>45900</v>
      </c>
      <c r="C11">
        <v>3100</v>
      </c>
      <c r="D11">
        <v>0.5</v>
      </c>
      <c r="E11">
        <v>6200</v>
      </c>
      <c r="F11">
        <v>6.3500063500095197E-3</v>
      </c>
      <c r="G11">
        <v>0.5</v>
      </c>
      <c r="H11">
        <v>0.99426825334628099</v>
      </c>
      <c r="I11">
        <v>10</v>
      </c>
      <c r="J11">
        <v>20.51</v>
      </c>
      <c r="K11">
        <v>20.51</v>
      </c>
      <c r="L11">
        <v>0.5</v>
      </c>
      <c r="M11">
        <v>6.3500063500095197E-3</v>
      </c>
      <c r="N11">
        <v>0.5</v>
      </c>
      <c r="O11">
        <v>773.41325162500198</v>
      </c>
      <c r="P11">
        <v>0.249488145685484</v>
      </c>
      <c r="Q11">
        <v>3100</v>
      </c>
      <c r="R11">
        <v>7.7718227788450703E-3</v>
      </c>
      <c r="S11">
        <v>0.25</v>
      </c>
      <c r="T11">
        <v>0.97586632425536002</v>
      </c>
      <c r="U11">
        <v>4.9999999999999902</v>
      </c>
      <c r="V11">
        <v>26.97</v>
      </c>
      <c r="W11">
        <v>10.25</v>
      </c>
      <c r="X11">
        <v>0.25269999999999998</v>
      </c>
      <c r="Y11">
        <v>7.7719460343784099E-3</v>
      </c>
      <c r="Z11">
        <v>0.74729999999999996</v>
      </c>
      <c r="AA11">
        <v>1</v>
      </c>
    </row>
    <row r="12" spans="1:27" x14ac:dyDescent="0.3">
      <c r="A12" t="s">
        <v>47</v>
      </c>
      <c r="B12" s="1">
        <v>45900</v>
      </c>
      <c r="C12">
        <v>3100</v>
      </c>
      <c r="D12">
        <v>0.5</v>
      </c>
      <c r="E12">
        <v>6200</v>
      </c>
      <c r="F12">
        <v>6.3500063500095197E-3</v>
      </c>
      <c r="G12">
        <v>0.5</v>
      </c>
      <c r="H12">
        <v>0.99283125270018002</v>
      </c>
      <c r="I12">
        <v>10</v>
      </c>
      <c r="J12">
        <v>20.51</v>
      </c>
      <c r="K12">
        <v>20.51</v>
      </c>
      <c r="L12">
        <v>0.5</v>
      </c>
      <c r="M12">
        <v>6.3500063500095197E-3</v>
      </c>
      <c r="N12">
        <v>0.5</v>
      </c>
      <c r="O12">
        <v>772.52659105360704</v>
      </c>
      <c r="P12">
        <v>0.249202126146325</v>
      </c>
      <c r="Q12">
        <v>3100</v>
      </c>
      <c r="R12">
        <v>7.7688465218974899E-3</v>
      </c>
      <c r="S12">
        <v>0.25</v>
      </c>
      <c r="T12">
        <v>0.96986537367125303</v>
      </c>
      <c r="U12">
        <v>4.9999999999999902</v>
      </c>
      <c r="V12">
        <v>26.97</v>
      </c>
      <c r="W12">
        <v>10.25</v>
      </c>
      <c r="X12">
        <v>0.25330000000000003</v>
      </c>
      <c r="Y12">
        <v>7.7688243806939301E-3</v>
      </c>
      <c r="Z12">
        <v>0.74670000000000003</v>
      </c>
      <c r="AA12">
        <v>1</v>
      </c>
    </row>
    <row r="13" spans="1:27" x14ac:dyDescent="0.3">
      <c r="A13" t="s">
        <v>48</v>
      </c>
      <c r="B13" s="1">
        <v>45900</v>
      </c>
      <c r="C13">
        <v>3100</v>
      </c>
      <c r="D13">
        <v>0.5</v>
      </c>
      <c r="E13">
        <v>6200</v>
      </c>
      <c r="F13">
        <v>6.3500063500095197E-3</v>
      </c>
      <c r="G13">
        <v>0.5</v>
      </c>
      <c r="H13">
        <v>0.99102178881615999</v>
      </c>
      <c r="I13">
        <v>10</v>
      </c>
      <c r="J13">
        <v>20.51</v>
      </c>
      <c r="K13">
        <v>20.51</v>
      </c>
      <c r="L13">
        <v>0.5</v>
      </c>
      <c r="M13">
        <v>6.3500063500095197E-3</v>
      </c>
      <c r="N13">
        <v>0.5</v>
      </c>
      <c r="O13">
        <v>771.12189596107703</v>
      </c>
      <c r="P13">
        <v>0.248748998697121</v>
      </c>
      <c r="Q13">
        <v>3100</v>
      </c>
      <c r="R13">
        <v>7.7641220832730404E-3</v>
      </c>
      <c r="S13">
        <v>0.25</v>
      </c>
      <c r="T13">
        <v>0.96251402521524398</v>
      </c>
      <c r="U13">
        <v>4.9999999999999902</v>
      </c>
      <c r="V13">
        <v>26.97</v>
      </c>
      <c r="W13">
        <v>10.25</v>
      </c>
      <c r="X13">
        <v>0.25390000000000001</v>
      </c>
      <c r="Y13">
        <v>7.7636105252064701E-3</v>
      </c>
      <c r="Z13">
        <v>0.74609999999999999</v>
      </c>
      <c r="AA13">
        <v>1</v>
      </c>
    </row>
    <row r="14" spans="1:27" x14ac:dyDescent="0.3">
      <c r="A14" t="s">
        <v>49</v>
      </c>
      <c r="B14" s="1">
        <v>45900</v>
      </c>
      <c r="C14">
        <v>3100</v>
      </c>
      <c r="D14">
        <v>0.5</v>
      </c>
      <c r="E14">
        <v>6200</v>
      </c>
      <c r="F14">
        <v>6.3500063500095197E-3</v>
      </c>
      <c r="G14">
        <v>0.5</v>
      </c>
      <c r="H14">
        <v>0.98874271023253602</v>
      </c>
      <c r="I14">
        <v>10</v>
      </c>
      <c r="J14">
        <v>20.51</v>
      </c>
      <c r="K14">
        <v>20.51</v>
      </c>
      <c r="L14">
        <v>0.5</v>
      </c>
      <c r="M14">
        <v>6.3500063500095197E-3</v>
      </c>
      <c r="N14">
        <v>0.5</v>
      </c>
      <c r="O14">
        <v>768.89426151369901</v>
      </c>
      <c r="P14">
        <v>0.248030406939903</v>
      </c>
      <c r="Q14">
        <v>3100</v>
      </c>
      <c r="R14">
        <v>7.7566064281781397E-3</v>
      </c>
      <c r="S14">
        <v>0.25</v>
      </c>
      <c r="T14">
        <v>0.95357528521740698</v>
      </c>
      <c r="U14">
        <v>4.9999999999999902</v>
      </c>
      <c r="V14">
        <v>26.97</v>
      </c>
      <c r="W14">
        <v>10.25</v>
      </c>
      <c r="X14">
        <v>0.25459999999999999</v>
      </c>
      <c r="Y14">
        <v>7.7562877718661202E-3</v>
      </c>
      <c r="Z14">
        <v>0.74539999999999995</v>
      </c>
      <c r="AA14">
        <v>1</v>
      </c>
    </row>
    <row r="15" spans="1:27" x14ac:dyDescent="0.3">
      <c r="A15" t="s">
        <v>50</v>
      </c>
      <c r="B15" s="1">
        <v>45900</v>
      </c>
      <c r="C15">
        <v>3100</v>
      </c>
      <c r="D15">
        <v>0.5</v>
      </c>
      <c r="E15">
        <v>6200</v>
      </c>
      <c r="F15">
        <v>6.3500063500095197E-3</v>
      </c>
      <c r="G15">
        <v>0.5</v>
      </c>
      <c r="H15">
        <v>0.98587271055927395</v>
      </c>
      <c r="I15">
        <v>10</v>
      </c>
      <c r="J15">
        <v>20.51</v>
      </c>
      <c r="K15">
        <v>20.51</v>
      </c>
      <c r="L15">
        <v>0.5</v>
      </c>
      <c r="M15">
        <v>6.3500063500095197E-3</v>
      </c>
      <c r="N15">
        <v>0.5</v>
      </c>
      <c r="O15">
        <v>765.373031232279</v>
      </c>
      <c r="P15">
        <v>0.24689452620395999</v>
      </c>
      <c r="Q15">
        <v>3100</v>
      </c>
      <c r="R15">
        <v>7.7446676584702898E-3</v>
      </c>
      <c r="S15">
        <v>0.25</v>
      </c>
      <c r="T15">
        <v>0.94280021246309498</v>
      </c>
      <c r="U15">
        <v>4.9999999999999902</v>
      </c>
      <c r="V15">
        <v>26.97</v>
      </c>
      <c r="W15">
        <v>10.25</v>
      </c>
      <c r="X15">
        <v>0.25519999999999998</v>
      </c>
      <c r="Y15">
        <v>7.74472536425546E-3</v>
      </c>
      <c r="Z15">
        <v>0.74480000000000002</v>
      </c>
      <c r="AA15">
        <v>1</v>
      </c>
    </row>
    <row r="16" spans="1:27" x14ac:dyDescent="0.3">
      <c r="A16" t="s">
        <v>51</v>
      </c>
      <c r="B16" s="1">
        <v>45900</v>
      </c>
      <c r="C16">
        <v>3100</v>
      </c>
      <c r="D16">
        <v>0.5</v>
      </c>
      <c r="E16">
        <v>6200</v>
      </c>
      <c r="F16">
        <v>6.3500063500095197E-3</v>
      </c>
      <c r="G16">
        <v>0.5</v>
      </c>
      <c r="H16">
        <v>0.98226140604710199</v>
      </c>
      <c r="I16">
        <v>10</v>
      </c>
      <c r="J16">
        <v>20.51</v>
      </c>
      <c r="K16">
        <v>20.51</v>
      </c>
      <c r="L16">
        <v>0.5</v>
      </c>
      <c r="M16">
        <v>6.3500063500095197E-3</v>
      </c>
      <c r="N16">
        <v>0.5</v>
      </c>
      <c r="O16">
        <v>759.86174260834696</v>
      </c>
      <c r="P16">
        <v>0.24511669116398299</v>
      </c>
      <c r="Q16">
        <v>3100</v>
      </c>
      <c r="R16">
        <v>7.7258363964541298E-3</v>
      </c>
      <c r="S16">
        <v>0.25</v>
      </c>
      <c r="T16">
        <v>0.92994121941776797</v>
      </c>
      <c r="U16">
        <v>4.9999999999999902</v>
      </c>
      <c r="V16">
        <v>26.97</v>
      </c>
      <c r="W16">
        <v>10.25</v>
      </c>
      <c r="X16">
        <v>0.2555</v>
      </c>
      <c r="Y16">
        <v>7.7256587567537801E-3</v>
      </c>
      <c r="Z16">
        <v>0.74450000000000005</v>
      </c>
      <c r="AA16">
        <v>1</v>
      </c>
    </row>
    <row r="17" spans="1:27" x14ac:dyDescent="0.3">
      <c r="A17" t="s">
        <v>52</v>
      </c>
      <c r="B17" s="1">
        <v>45900</v>
      </c>
      <c r="C17">
        <v>3100</v>
      </c>
      <c r="D17">
        <v>0.5</v>
      </c>
      <c r="E17">
        <v>6200</v>
      </c>
      <c r="F17">
        <v>6.3500063500095197E-3</v>
      </c>
      <c r="G17">
        <v>0.5</v>
      </c>
      <c r="H17">
        <v>0.977724186203343</v>
      </c>
      <c r="I17">
        <v>10</v>
      </c>
      <c r="J17">
        <v>20.51</v>
      </c>
      <c r="K17">
        <v>20.51</v>
      </c>
      <c r="L17">
        <v>0.5</v>
      </c>
      <c r="M17">
        <v>6.3500063500095197E-3</v>
      </c>
      <c r="N17">
        <v>0.5</v>
      </c>
      <c r="O17">
        <v>751.40874111852895</v>
      </c>
      <c r="P17">
        <v>0.24238991648984801</v>
      </c>
      <c r="Q17">
        <v>3100</v>
      </c>
      <c r="R17">
        <v>7.6966068115068096E-3</v>
      </c>
      <c r="S17">
        <v>0.25</v>
      </c>
      <c r="T17">
        <v>0.91477136372805701</v>
      </c>
      <c r="U17">
        <v>4.9999999999999902</v>
      </c>
      <c r="V17">
        <v>26.97</v>
      </c>
      <c r="W17">
        <v>10.25</v>
      </c>
      <c r="X17">
        <v>0.2555</v>
      </c>
      <c r="Y17">
        <v>7.6967156799549498E-3</v>
      </c>
      <c r="Z17">
        <v>0.74450000000000005</v>
      </c>
      <c r="AA17">
        <v>1</v>
      </c>
    </row>
    <row r="18" spans="1:27" x14ac:dyDescent="0.3">
      <c r="A18" t="s">
        <v>53</v>
      </c>
      <c r="B18" s="1">
        <v>45900</v>
      </c>
      <c r="C18">
        <v>3100</v>
      </c>
      <c r="D18">
        <v>0.5</v>
      </c>
      <c r="E18">
        <v>6200</v>
      </c>
      <c r="F18">
        <v>6.3500063500095197E-3</v>
      </c>
      <c r="G18">
        <v>0.5</v>
      </c>
      <c r="H18">
        <v>0.97203744001984105</v>
      </c>
      <c r="I18">
        <v>10</v>
      </c>
      <c r="J18">
        <v>20.51</v>
      </c>
      <c r="K18">
        <v>20.51</v>
      </c>
      <c r="L18">
        <v>0.5</v>
      </c>
      <c r="M18">
        <v>6.3500063500095197E-3</v>
      </c>
      <c r="N18">
        <v>0.5</v>
      </c>
      <c r="O18">
        <v>738.90881796560495</v>
      </c>
      <c r="P18">
        <v>0.23835768321471101</v>
      </c>
      <c r="Q18">
        <v>3100</v>
      </c>
      <c r="R18">
        <v>7.6526044073396597E-3</v>
      </c>
      <c r="S18">
        <v>0.25</v>
      </c>
      <c r="T18">
        <v>0.89710965686583499</v>
      </c>
      <c r="U18">
        <v>4.9999999999999902</v>
      </c>
      <c r="V18">
        <v>26.97</v>
      </c>
      <c r="W18">
        <v>10.25</v>
      </c>
      <c r="X18">
        <v>0.25490000000000002</v>
      </c>
      <c r="Y18">
        <v>7.65307106815254E-3</v>
      </c>
      <c r="Z18">
        <v>0.74509999999999998</v>
      </c>
      <c r="AA18">
        <v>1</v>
      </c>
    </row>
    <row r="19" spans="1:27" x14ac:dyDescent="0.3">
      <c r="A19" t="s">
        <v>54</v>
      </c>
      <c r="B19" s="1">
        <v>45900</v>
      </c>
      <c r="C19">
        <v>3100</v>
      </c>
      <c r="D19">
        <v>0.5</v>
      </c>
      <c r="E19">
        <v>6200</v>
      </c>
      <c r="F19">
        <v>6.3500063500095197E-3</v>
      </c>
      <c r="G19">
        <v>0.5</v>
      </c>
      <c r="H19">
        <v>0.96493525822233495</v>
      </c>
      <c r="I19">
        <v>10</v>
      </c>
      <c r="J19">
        <v>20.51</v>
      </c>
      <c r="K19">
        <v>20.51</v>
      </c>
      <c r="L19">
        <v>0.5</v>
      </c>
      <c r="M19">
        <v>6.3500063500095197E-3</v>
      </c>
      <c r="N19">
        <v>0.5</v>
      </c>
      <c r="O19">
        <v>721.52499841968597</v>
      </c>
      <c r="P19">
        <v>0.23274999949022099</v>
      </c>
      <c r="Q19">
        <v>3100</v>
      </c>
      <c r="R19">
        <v>7.5898369489801496E-3</v>
      </c>
      <c r="S19">
        <v>0.25</v>
      </c>
      <c r="T19">
        <v>0.87685097344442098</v>
      </c>
      <c r="U19">
        <v>4.9999999999999902</v>
      </c>
      <c r="V19">
        <v>26.97</v>
      </c>
      <c r="W19">
        <v>10.25</v>
      </c>
      <c r="X19">
        <v>0.2535</v>
      </c>
      <c r="Y19">
        <v>7.5892689520010003E-3</v>
      </c>
      <c r="Z19">
        <v>0.74650000000000005</v>
      </c>
      <c r="AA19">
        <v>1</v>
      </c>
    </row>
    <row r="20" spans="1:27" x14ac:dyDescent="0.3">
      <c r="A20" t="s">
        <v>55</v>
      </c>
      <c r="B20" s="1">
        <v>45900</v>
      </c>
      <c r="C20">
        <v>3100</v>
      </c>
      <c r="D20">
        <v>0.5</v>
      </c>
      <c r="E20">
        <v>6200</v>
      </c>
      <c r="F20">
        <v>6.3500063500095197E-3</v>
      </c>
      <c r="G20">
        <v>0.5</v>
      </c>
      <c r="H20">
        <v>0.95610945345182696</v>
      </c>
      <c r="I20">
        <v>10</v>
      </c>
      <c r="J20">
        <v>20.51</v>
      </c>
      <c r="K20">
        <v>20.51</v>
      </c>
      <c r="L20">
        <v>0.5</v>
      </c>
      <c r="M20">
        <v>6.3500063500095197E-3</v>
      </c>
      <c r="N20">
        <v>0.5</v>
      </c>
      <c r="O20">
        <v>699.55012407107995</v>
      </c>
      <c r="P20">
        <v>0.225661330345509</v>
      </c>
      <c r="Q20">
        <v>3100</v>
      </c>
      <c r="R20">
        <v>7.5078087162677399E-3</v>
      </c>
      <c r="S20">
        <v>0.25</v>
      </c>
      <c r="T20">
        <v>0.85399666839519395</v>
      </c>
      <c r="U20">
        <v>4.9999999999999902</v>
      </c>
      <c r="V20">
        <v>26.97</v>
      </c>
      <c r="W20">
        <v>10.25</v>
      </c>
      <c r="X20">
        <v>0.25130000000000002</v>
      </c>
      <c r="Y20">
        <v>7.50826447881739E-3</v>
      </c>
      <c r="Z20">
        <v>0.74870000000000003</v>
      </c>
      <c r="AA20">
        <v>1</v>
      </c>
    </row>
    <row r="21" spans="1:27" x14ac:dyDescent="0.3">
      <c r="A21" t="s">
        <v>56</v>
      </c>
      <c r="B21" s="1">
        <v>45900</v>
      </c>
      <c r="C21">
        <v>3100</v>
      </c>
      <c r="D21">
        <v>0.5</v>
      </c>
      <c r="E21">
        <v>6200</v>
      </c>
      <c r="F21">
        <v>6.3500063500095197E-3</v>
      </c>
      <c r="G21">
        <v>0.5</v>
      </c>
      <c r="H21">
        <v>0.94521575467835794</v>
      </c>
      <c r="I21">
        <v>10</v>
      </c>
      <c r="J21">
        <v>20.51</v>
      </c>
      <c r="K21">
        <v>20.51</v>
      </c>
      <c r="L21">
        <v>0.5</v>
      </c>
      <c r="M21">
        <v>6.3500063500095197E-3</v>
      </c>
      <c r="N21">
        <v>0.5</v>
      </c>
      <c r="O21">
        <v>674.99836681356703</v>
      </c>
      <c r="P21">
        <v>0.217741408649537</v>
      </c>
      <c r="Q21">
        <v>3100</v>
      </c>
      <c r="R21">
        <v>7.4125022462892204E-3</v>
      </c>
      <c r="S21">
        <v>0.25</v>
      </c>
      <c r="T21">
        <v>0.82867930004875801</v>
      </c>
      <c r="U21">
        <v>4.9999999999999902</v>
      </c>
      <c r="V21">
        <v>26.97</v>
      </c>
      <c r="W21">
        <v>10.25</v>
      </c>
      <c r="X21">
        <v>0.24890000000000001</v>
      </c>
      <c r="Y21">
        <v>7.4119935501251403E-3</v>
      </c>
      <c r="Z21">
        <v>0.75109999999999999</v>
      </c>
      <c r="AA21">
        <v>1</v>
      </c>
    </row>
    <row r="22" spans="1:27" x14ac:dyDescent="0.3">
      <c r="A22" t="s">
        <v>57</v>
      </c>
      <c r="B22" s="1">
        <v>45900</v>
      </c>
      <c r="C22">
        <v>3100</v>
      </c>
      <c r="D22">
        <v>0.5</v>
      </c>
      <c r="E22">
        <v>6200</v>
      </c>
      <c r="F22">
        <v>6.3500063500095197E-3</v>
      </c>
      <c r="G22">
        <v>0.5</v>
      </c>
      <c r="H22">
        <v>0.93189023565595497</v>
      </c>
      <c r="I22">
        <v>10</v>
      </c>
      <c r="J22">
        <v>20.51</v>
      </c>
      <c r="K22">
        <v>20.51</v>
      </c>
      <c r="L22">
        <v>0.5</v>
      </c>
      <c r="M22">
        <v>6.3500063500095197E-3</v>
      </c>
      <c r="N22">
        <v>0.5</v>
      </c>
      <c r="O22">
        <v>650.00147729123205</v>
      </c>
      <c r="P22">
        <v>0.20967789590039701</v>
      </c>
      <c r="Q22">
        <v>3100</v>
      </c>
      <c r="R22">
        <v>7.3113494599962104E-3</v>
      </c>
      <c r="S22">
        <v>0.25</v>
      </c>
      <c r="T22">
        <v>0.80117202387297304</v>
      </c>
      <c r="U22">
        <v>4.9999999999999902</v>
      </c>
      <c r="V22">
        <v>26.97</v>
      </c>
      <c r="W22">
        <v>10.25</v>
      </c>
      <c r="X22">
        <v>0.24679999999999999</v>
      </c>
      <c r="Y22">
        <v>7.31163257882546E-3</v>
      </c>
      <c r="Z22">
        <v>0.75319999999999998</v>
      </c>
      <c r="AA22">
        <v>1</v>
      </c>
    </row>
    <row r="23" spans="1:27" x14ac:dyDescent="0.3">
      <c r="A23" t="s">
        <v>58</v>
      </c>
      <c r="B23" s="1">
        <v>45900</v>
      </c>
      <c r="C23">
        <v>3100</v>
      </c>
      <c r="D23">
        <v>0.5</v>
      </c>
      <c r="E23">
        <v>6200</v>
      </c>
      <c r="F23">
        <v>6.3500063500095197E-3</v>
      </c>
      <c r="G23">
        <v>0.5</v>
      </c>
      <c r="H23">
        <v>0.91578104941580796</v>
      </c>
      <c r="I23">
        <v>10</v>
      </c>
      <c r="J23">
        <v>20.51</v>
      </c>
      <c r="K23">
        <v>20.51</v>
      </c>
      <c r="L23">
        <v>0.5</v>
      </c>
      <c r="M23">
        <v>6.3500063500095197E-3</v>
      </c>
      <c r="N23">
        <v>0.5</v>
      </c>
      <c r="O23">
        <v>625.00184352757799</v>
      </c>
      <c r="P23">
        <v>0.20161349791212099</v>
      </c>
      <c r="Q23">
        <v>3100</v>
      </c>
      <c r="R23">
        <v>7.2058554902058097E-3</v>
      </c>
      <c r="S23">
        <v>0.25</v>
      </c>
      <c r="T23">
        <v>0.77187273558689595</v>
      </c>
      <c r="U23">
        <v>4.9999999999999902</v>
      </c>
      <c r="V23">
        <v>26.97</v>
      </c>
      <c r="W23">
        <v>10.25</v>
      </c>
      <c r="X23">
        <v>0.245</v>
      </c>
      <c r="Y23">
        <v>7.20567518270909E-3</v>
      </c>
      <c r="Z23">
        <v>0.755</v>
      </c>
      <c r="AA23">
        <v>1</v>
      </c>
    </row>
    <row r="24" spans="1:27" x14ac:dyDescent="0.3">
      <c r="A24" t="s">
        <v>59</v>
      </c>
      <c r="B24" s="1">
        <v>45900</v>
      </c>
      <c r="C24">
        <v>3100</v>
      </c>
      <c r="D24">
        <v>0.5</v>
      </c>
      <c r="E24">
        <v>6200</v>
      </c>
      <c r="F24">
        <v>6.3500063500095197E-3</v>
      </c>
      <c r="G24">
        <v>0.5</v>
      </c>
      <c r="H24">
        <v>0.89660048033890805</v>
      </c>
      <c r="I24">
        <v>10</v>
      </c>
      <c r="J24">
        <v>20.51</v>
      </c>
      <c r="K24">
        <v>20.51</v>
      </c>
      <c r="L24">
        <v>0.5</v>
      </c>
      <c r="M24">
        <v>6.3500063500095197E-3</v>
      </c>
      <c r="N24">
        <v>0.5</v>
      </c>
      <c r="O24">
        <v>600.00235164397202</v>
      </c>
      <c r="P24">
        <v>0.193549145691604</v>
      </c>
      <c r="Q24">
        <v>3100</v>
      </c>
      <c r="R24">
        <v>7.0958387145191697E-3</v>
      </c>
      <c r="S24">
        <v>0.25</v>
      </c>
      <c r="T24">
        <v>0.74125703975657298</v>
      </c>
      <c r="U24">
        <v>4.9999999999999902</v>
      </c>
      <c r="V24">
        <v>26.97</v>
      </c>
      <c r="W24">
        <v>10.25</v>
      </c>
      <c r="X24">
        <v>0.24340000000000001</v>
      </c>
      <c r="Y24">
        <v>7.0951539572738902E-3</v>
      </c>
      <c r="Z24">
        <v>0.75660000000000005</v>
      </c>
      <c r="AA24">
        <v>1</v>
      </c>
    </row>
    <row r="25" spans="1:27" x14ac:dyDescent="0.3">
      <c r="A25" t="s">
        <v>60</v>
      </c>
      <c r="B25" s="1">
        <v>45900</v>
      </c>
      <c r="C25">
        <v>3100</v>
      </c>
      <c r="D25">
        <v>0.5</v>
      </c>
      <c r="E25">
        <v>6200</v>
      </c>
      <c r="F25">
        <v>6.3500063500095197E-3</v>
      </c>
      <c r="G25">
        <v>0.5</v>
      </c>
      <c r="H25">
        <v>0.87419906047282103</v>
      </c>
      <c r="I25">
        <v>10</v>
      </c>
      <c r="J25">
        <v>20.51</v>
      </c>
      <c r="K25">
        <v>20.51</v>
      </c>
      <c r="L25">
        <v>0.5</v>
      </c>
      <c r="M25">
        <v>6.3500063500095197E-3</v>
      </c>
      <c r="N25">
        <v>0.5</v>
      </c>
      <c r="O25">
        <v>575.00306045133698</v>
      </c>
      <c r="P25">
        <v>0.18548485821010799</v>
      </c>
      <c r="Q25">
        <v>3100</v>
      </c>
      <c r="R25">
        <v>6.9810856347910103E-3</v>
      </c>
      <c r="S25">
        <v>0.25</v>
      </c>
      <c r="T25">
        <v>0.70980472140648398</v>
      </c>
      <c r="U25">
        <v>4.9999999999999902</v>
      </c>
      <c r="V25">
        <v>26.97</v>
      </c>
      <c r="W25">
        <v>10.25</v>
      </c>
      <c r="X25">
        <v>0.24210000000000001</v>
      </c>
      <c r="Y25">
        <v>6.9813056824821803E-3</v>
      </c>
      <c r="Z25">
        <v>0.75790000000000002</v>
      </c>
      <c r="AA25">
        <v>1</v>
      </c>
    </row>
    <row r="26" spans="1:27" x14ac:dyDescent="0.3">
      <c r="A26" t="s">
        <v>61</v>
      </c>
      <c r="B26" s="1">
        <v>45900</v>
      </c>
      <c r="C26">
        <v>3100</v>
      </c>
      <c r="D26">
        <v>0.5</v>
      </c>
      <c r="E26">
        <v>6200</v>
      </c>
      <c r="F26">
        <v>6.3500063500095197E-3</v>
      </c>
      <c r="G26">
        <v>0.5</v>
      </c>
      <c r="H26">
        <v>0.84865382543559897</v>
      </c>
      <c r="I26">
        <v>10</v>
      </c>
      <c r="J26">
        <v>20.51</v>
      </c>
      <c r="K26">
        <v>20.51</v>
      </c>
      <c r="L26">
        <v>0.5</v>
      </c>
      <c r="M26">
        <v>6.3500063500095197E-3</v>
      </c>
      <c r="N26">
        <v>0.5</v>
      </c>
      <c r="O26">
        <v>550.004054798938</v>
      </c>
      <c r="P26">
        <v>0.17742066283836699</v>
      </c>
      <c r="Q26">
        <v>3100</v>
      </c>
      <c r="R26">
        <v>6.8613591063231101E-3</v>
      </c>
      <c r="S26">
        <v>0.25</v>
      </c>
      <c r="T26">
        <v>0.677920025156592</v>
      </c>
      <c r="U26">
        <v>4.9999999999999902</v>
      </c>
      <c r="V26">
        <v>26.97</v>
      </c>
      <c r="W26">
        <v>10.25</v>
      </c>
      <c r="X26">
        <v>0.2409</v>
      </c>
      <c r="Y26">
        <v>6.8610457211052498E-3</v>
      </c>
      <c r="Z26">
        <v>0.7591</v>
      </c>
      <c r="AA26">
        <v>1</v>
      </c>
    </row>
    <row r="27" spans="1:27" x14ac:dyDescent="0.3">
      <c r="A27" t="s">
        <v>62</v>
      </c>
      <c r="B27" s="1">
        <v>45900</v>
      </c>
      <c r="C27">
        <v>3100</v>
      </c>
      <c r="D27">
        <v>0.5</v>
      </c>
      <c r="E27">
        <v>6200</v>
      </c>
      <c r="F27">
        <v>6.3500063500095197E-3</v>
      </c>
      <c r="G27">
        <v>0.5</v>
      </c>
      <c r="H27">
        <v>0.82034299744648997</v>
      </c>
      <c r="I27">
        <v>10</v>
      </c>
      <c r="J27">
        <v>20.51</v>
      </c>
      <c r="K27">
        <v>20.51</v>
      </c>
      <c r="L27">
        <v>0.5</v>
      </c>
      <c r="M27">
        <v>6.3500063500095197E-3</v>
      </c>
      <c r="N27">
        <v>0.5</v>
      </c>
      <c r="O27">
        <v>525.00545786454597</v>
      </c>
      <c r="P27">
        <v>0.169356599311143</v>
      </c>
      <c r="Q27">
        <v>3100</v>
      </c>
      <c r="R27">
        <v>6.7363946895350703E-3</v>
      </c>
      <c r="S27">
        <v>0.25</v>
      </c>
      <c r="T27">
        <v>0.645877895242017</v>
      </c>
      <c r="U27">
        <v>4.9999999999999902</v>
      </c>
      <c r="V27">
        <v>26.97</v>
      </c>
      <c r="W27">
        <v>10.25</v>
      </c>
      <c r="X27">
        <v>0.2399</v>
      </c>
      <c r="Y27">
        <v>6.7370817842550999E-3</v>
      </c>
      <c r="Z27">
        <v>0.7601</v>
      </c>
      <c r="AA27">
        <v>1</v>
      </c>
    </row>
    <row r="28" spans="1:27" x14ac:dyDescent="0.3">
      <c r="A28" t="s">
        <v>63</v>
      </c>
      <c r="B28" s="1">
        <v>45900</v>
      </c>
      <c r="C28">
        <v>3100</v>
      </c>
      <c r="D28">
        <v>0.5</v>
      </c>
      <c r="E28">
        <v>6200</v>
      </c>
      <c r="F28">
        <v>6.3500063500095197E-3</v>
      </c>
      <c r="G28">
        <v>0.5</v>
      </c>
      <c r="H28">
        <v>0.78995146104079095</v>
      </c>
      <c r="I28">
        <v>10</v>
      </c>
      <c r="J28">
        <v>20.51</v>
      </c>
      <c r="K28">
        <v>20.51</v>
      </c>
      <c r="L28">
        <v>0.5</v>
      </c>
      <c r="M28">
        <v>6.3500063500095197E-3</v>
      </c>
      <c r="N28">
        <v>0.5</v>
      </c>
      <c r="O28">
        <v>500.007449615459</v>
      </c>
      <c r="P28">
        <v>0.16129272568240599</v>
      </c>
      <c r="Q28">
        <v>3100</v>
      </c>
      <c r="R28">
        <v>6.6058962500116598E-3</v>
      </c>
      <c r="S28">
        <v>0.25</v>
      </c>
      <c r="T28">
        <v>0.613821818634679</v>
      </c>
      <c r="U28">
        <v>4.9999999999999902</v>
      </c>
      <c r="V28">
        <v>26.97</v>
      </c>
      <c r="W28">
        <v>10.25</v>
      </c>
      <c r="X28">
        <v>0.23910000000000001</v>
      </c>
      <c r="Y28">
        <v>6.60601656361151E-3</v>
      </c>
      <c r="Z28">
        <v>0.76090000000000002</v>
      </c>
      <c r="AA28">
        <v>1</v>
      </c>
    </row>
    <row r="29" spans="1:27" x14ac:dyDescent="0.3">
      <c r="A29" t="s">
        <v>64</v>
      </c>
      <c r="B29" s="1">
        <v>45900</v>
      </c>
      <c r="C29">
        <v>3100</v>
      </c>
      <c r="D29">
        <v>0.5</v>
      </c>
      <c r="E29">
        <v>6200</v>
      </c>
      <c r="F29">
        <v>6.3500063500095197E-3</v>
      </c>
      <c r="G29">
        <v>0.5</v>
      </c>
      <c r="H29">
        <v>0.75833786732887998</v>
      </c>
      <c r="I29">
        <v>10</v>
      </c>
      <c r="J29">
        <v>20.51</v>
      </c>
      <c r="K29">
        <v>20.51</v>
      </c>
      <c r="L29">
        <v>0.5</v>
      </c>
      <c r="M29">
        <v>6.3500063500095197E-3</v>
      </c>
      <c r="N29">
        <v>0.5</v>
      </c>
      <c r="O29">
        <v>475.01029472774098</v>
      </c>
      <c r="P29">
        <v>0.15322912733152899</v>
      </c>
      <c r="Q29">
        <v>3100</v>
      </c>
      <c r="R29">
        <v>6.4695306173843297E-3</v>
      </c>
      <c r="S29">
        <v>0.25</v>
      </c>
      <c r="T29">
        <v>0.58180805642657796</v>
      </c>
      <c r="U29">
        <v>4.9999999999999902</v>
      </c>
      <c r="V29">
        <v>26.97</v>
      </c>
      <c r="W29">
        <v>10.25</v>
      </c>
      <c r="X29">
        <v>0.2384</v>
      </c>
      <c r="Y29">
        <v>6.4690269498139602E-3</v>
      </c>
      <c r="Z29">
        <v>0.76160000000000005</v>
      </c>
      <c r="AA29">
        <v>1</v>
      </c>
    </row>
    <row r="30" spans="1:27" x14ac:dyDescent="0.3">
      <c r="A30" t="s">
        <v>65</v>
      </c>
      <c r="B30" s="1">
        <v>45900</v>
      </c>
      <c r="C30">
        <v>3100</v>
      </c>
      <c r="D30">
        <v>0.5</v>
      </c>
      <c r="E30">
        <v>6200</v>
      </c>
      <c r="F30">
        <v>6.3500063500095197E-3</v>
      </c>
      <c r="G30">
        <v>0.5</v>
      </c>
      <c r="H30">
        <v>0.72625539093275404</v>
      </c>
      <c r="I30">
        <v>10</v>
      </c>
      <c r="J30">
        <v>20.51</v>
      </c>
      <c r="K30">
        <v>20.51</v>
      </c>
      <c r="L30">
        <v>0.5</v>
      </c>
      <c r="M30">
        <v>6.3500063500095197E-3</v>
      </c>
      <c r="N30">
        <v>0.5</v>
      </c>
      <c r="O30">
        <v>450.014385103145</v>
      </c>
      <c r="P30">
        <v>0.145165930678434</v>
      </c>
      <c r="Q30">
        <v>3100</v>
      </c>
      <c r="R30">
        <v>6.3269210584790099E-3</v>
      </c>
      <c r="S30">
        <v>0.25</v>
      </c>
      <c r="T30">
        <v>0.54985888811082495</v>
      </c>
      <c r="U30">
        <v>4.9999999999999902</v>
      </c>
      <c r="V30">
        <v>26.97</v>
      </c>
      <c r="W30">
        <v>10.25</v>
      </c>
      <c r="X30">
        <v>0.23799999999999999</v>
      </c>
      <c r="Y30">
        <v>6.3275373592147199E-3</v>
      </c>
      <c r="Z30">
        <v>0.76200000000000001</v>
      </c>
      <c r="AA30">
        <v>1</v>
      </c>
    </row>
    <row r="31" spans="1:27" x14ac:dyDescent="0.3">
      <c r="A31" t="s">
        <v>66</v>
      </c>
      <c r="B31" s="1">
        <v>45900</v>
      </c>
      <c r="C31">
        <v>3100</v>
      </c>
      <c r="D31">
        <v>0.5</v>
      </c>
      <c r="E31">
        <v>6200</v>
      </c>
      <c r="F31">
        <v>6.3500063500095197E-3</v>
      </c>
      <c r="G31">
        <v>0.5</v>
      </c>
      <c r="H31">
        <v>0.69410173942405695</v>
      </c>
      <c r="I31">
        <v>10</v>
      </c>
      <c r="J31">
        <v>20.51</v>
      </c>
      <c r="K31">
        <v>20.51</v>
      </c>
      <c r="L31">
        <v>0.5</v>
      </c>
      <c r="M31">
        <v>6.3500063500095197E-3</v>
      </c>
      <c r="N31">
        <v>0.5</v>
      </c>
      <c r="O31">
        <v>425.02030507394602</v>
      </c>
      <c r="P31">
        <v>0.13710332421740201</v>
      </c>
      <c r="Q31">
        <v>3100</v>
      </c>
      <c r="R31">
        <v>6.1776392480732802E-3</v>
      </c>
      <c r="S31">
        <v>0.25</v>
      </c>
      <c r="T31">
        <v>0.51799239175830403</v>
      </c>
      <c r="U31">
        <v>4.9999999999999902</v>
      </c>
      <c r="V31">
        <v>26.97</v>
      </c>
      <c r="W31">
        <v>10.25</v>
      </c>
      <c r="X31">
        <v>0.23769999999999999</v>
      </c>
      <c r="Y31">
        <v>6.17757625506126E-3</v>
      </c>
      <c r="Z31">
        <v>0.76229999999999998</v>
      </c>
      <c r="AA31">
        <v>1</v>
      </c>
    </row>
    <row r="32" spans="1:27" x14ac:dyDescent="0.3">
      <c r="A32" t="s">
        <v>67</v>
      </c>
      <c r="B32" s="1">
        <v>45900</v>
      </c>
      <c r="C32">
        <v>3100</v>
      </c>
      <c r="D32">
        <v>0.5</v>
      </c>
      <c r="E32">
        <v>6200</v>
      </c>
      <c r="F32">
        <v>6.3500063500095197E-3</v>
      </c>
      <c r="G32">
        <v>0.5</v>
      </c>
      <c r="H32">
        <v>0.66196818397569002</v>
      </c>
      <c r="I32">
        <v>10</v>
      </c>
      <c r="J32">
        <v>20.51</v>
      </c>
      <c r="K32">
        <v>20.51</v>
      </c>
      <c r="L32">
        <v>0.5</v>
      </c>
      <c r="M32">
        <v>6.3500063500095197E-3</v>
      </c>
      <c r="N32">
        <v>0.5</v>
      </c>
      <c r="O32">
        <v>400.02893211775603</v>
      </c>
      <c r="P32">
        <v>0.12904159100572701</v>
      </c>
      <c r="Q32">
        <v>3100</v>
      </c>
      <c r="R32">
        <v>6.0211953265229103E-3</v>
      </c>
      <c r="S32">
        <v>0.25</v>
      </c>
      <c r="T32">
        <v>0.48623056074938797</v>
      </c>
      <c r="U32">
        <v>4.9999999999999902</v>
      </c>
      <c r="V32">
        <v>26.97</v>
      </c>
      <c r="W32">
        <v>10.25</v>
      </c>
      <c r="X32">
        <v>0.23769999999999999</v>
      </c>
      <c r="Y32">
        <v>6.0203686523067103E-3</v>
      </c>
      <c r="Z32">
        <v>0.76229999999999998</v>
      </c>
      <c r="AA32">
        <v>1</v>
      </c>
    </row>
    <row r="33" spans="1:27" x14ac:dyDescent="0.3">
      <c r="A33" t="s">
        <v>3</v>
      </c>
      <c r="B33" s="1">
        <v>45900</v>
      </c>
      <c r="C33">
        <v>3100</v>
      </c>
      <c r="D33">
        <v>0.5</v>
      </c>
      <c r="E33">
        <v>6200</v>
      </c>
      <c r="F33">
        <v>6.3500063500095197E-3</v>
      </c>
      <c r="G33">
        <v>0.5</v>
      </c>
      <c r="H33">
        <v>0.62986429763095497</v>
      </c>
      <c r="I33">
        <v>10</v>
      </c>
      <c r="J33">
        <v>20.51</v>
      </c>
      <c r="K33">
        <v>20.51</v>
      </c>
      <c r="L33">
        <v>0.5</v>
      </c>
      <c r="M33">
        <v>6.3500063500095197E-3</v>
      </c>
      <c r="N33">
        <v>0.5</v>
      </c>
      <c r="O33">
        <v>375.04159353867101</v>
      </c>
      <c r="P33">
        <v>0.120981159206022</v>
      </c>
      <c r="Q33">
        <v>3100</v>
      </c>
      <c r="R33">
        <v>5.8570255118268197E-3</v>
      </c>
      <c r="S33">
        <v>0.25</v>
      </c>
      <c r="T33">
        <v>0.45460104216288399</v>
      </c>
      <c r="U33">
        <v>4.9999999999999902</v>
      </c>
      <c r="V33">
        <v>26.97</v>
      </c>
      <c r="W33">
        <v>10.25</v>
      </c>
      <c r="X33">
        <v>0.23780000000000001</v>
      </c>
      <c r="Y33">
        <v>5.8574187863520196E-3</v>
      </c>
      <c r="Z33">
        <v>0.76219999999999999</v>
      </c>
      <c r="AA33">
        <v>1</v>
      </c>
    </row>
    <row r="34" spans="1:27" x14ac:dyDescent="0.3">
      <c r="A34" t="s">
        <v>68</v>
      </c>
      <c r="B34" s="1">
        <v>45900</v>
      </c>
      <c r="C34">
        <v>3000</v>
      </c>
      <c r="D34">
        <v>0.5</v>
      </c>
      <c r="E34">
        <v>6000</v>
      </c>
      <c r="F34">
        <v>6.4549722436790203E-3</v>
      </c>
      <c r="G34">
        <v>0.5</v>
      </c>
      <c r="H34">
        <v>0.61772410694179003</v>
      </c>
      <c r="I34">
        <v>10</v>
      </c>
      <c r="J34">
        <v>20.51</v>
      </c>
      <c r="K34">
        <v>20.51</v>
      </c>
      <c r="L34">
        <v>0.5</v>
      </c>
      <c r="M34">
        <v>6.4549722436790203E-3</v>
      </c>
      <c r="N34">
        <v>0.5</v>
      </c>
      <c r="O34">
        <v>350.06031195782498</v>
      </c>
      <c r="P34">
        <v>0.116686770652608</v>
      </c>
      <c r="Q34">
        <v>3000</v>
      </c>
      <c r="R34">
        <v>5.8614835496164797E-3</v>
      </c>
      <c r="S34">
        <v>0.25</v>
      </c>
      <c r="T34">
        <v>0.43724311333789001</v>
      </c>
      <c r="U34">
        <v>4.9999999999999902</v>
      </c>
      <c r="V34">
        <v>26.97</v>
      </c>
      <c r="W34">
        <v>10.25</v>
      </c>
      <c r="X34">
        <v>0.2384</v>
      </c>
      <c r="Y34">
        <v>5.8617719164088897E-3</v>
      </c>
      <c r="Z34">
        <v>0.76160000000000005</v>
      </c>
      <c r="AA34">
        <v>1</v>
      </c>
    </row>
    <row r="35" spans="1:27" x14ac:dyDescent="0.3">
      <c r="A35" t="s">
        <v>69</v>
      </c>
      <c r="B35" s="1">
        <v>45900</v>
      </c>
      <c r="C35">
        <v>2900</v>
      </c>
      <c r="D35">
        <v>0.5</v>
      </c>
      <c r="E35">
        <v>5800</v>
      </c>
      <c r="F35">
        <v>6.5653216429861199E-3</v>
      </c>
      <c r="G35">
        <v>0.5</v>
      </c>
      <c r="H35">
        <v>0.60479636599273301</v>
      </c>
      <c r="I35">
        <v>10</v>
      </c>
      <c r="J35">
        <v>20.51</v>
      </c>
      <c r="K35">
        <v>20.51</v>
      </c>
      <c r="L35">
        <v>0.5</v>
      </c>
      <c r="M35">
        <v>6.5653216429861199E-3</v>
      </c>
      <c r="N35">
        <v>0.5</v>
      </c>
      <c r="O35">
        <v>325.08819265118302</v>
      </c>
      <c r="P35">
        <v>0.11209937677626999</v>
      </c>
      <c r="Q35">
        <v>2900</v>
      </c>
      <c r="R35">
        <v>5.8584776916004297E-3</v>
      </c>
      <c r="S35">
        <v>0.25</v>
      </c>
      <c r="T35">
        <v>0.418912845404182</v>
      </c>
      <c r="U35">
        <v>4.9999999999999902</v>
      </c>
      <c r="V35">
        <v>26.97</v>
      </c>
      <c r="W35">
        <v>10.25</v>
      </c>
      <c r="X35">
        <v>0.23910000000000001</v>
      </c>
      <c r="Y35">
        <v>5.8584919208109201E-3</v>
      </c>
      <c r="Z35">
        <v>0.76090000000000002</v>
      </c>
      <c r="AA35">
        <v>1</v>
      </c>
    </row>
    <row r="36" spans="1:27" x14ac:dyDescent="0.3">
      <c r="A36" t="s">
        <v>70</v>
      </c>
      <c r="B36" s="1">
        <v>45900</v>
      </c>
      <c r="C36">
        <v>2800</v>
      </c>
      <c r="D36">
        <v>0.5</v>
      </c>
      <c r="E36">
        <v>5600</v>
      </c>
      <c r="F36">
        <v>6.6815310478106097E-3</v>
      </c>
      <c r="G36">
        <v>0.5</v>
      </c>
      <c r="H36">
        <v>0.59100981994815105</v>
      </c>
      <c r="I36">
        <v>10</v>
      </c>
      <c r="J36">
        <v>20.51</v>
      </c>
      <c r="K36">
        <v>20.51</v>
      </c>
      <c r="L36">
        <v>0.5</v>
      </c>
      <c r="M36">
        <v>6.6815310478106097E-3</v>
      </c>
      <c r="N36">
        <v>0.5</v>
      </c>
      <c r="O36">
        <v>300.13003881748699</v>
      </c>
      <c r="P36">
        <v>0.10718929957767399</v>
      </c>
      <c r="Q36">
        <v>2800</v>
      </c>
      <c r="R36">
        <v>5.8462366904372702E-3</v>
      </c>
      <c r="S36">
        <v>0.25</v>
      </c>
      <c r="T36">
        <v>0.39956562759428799</v>
      </c>
      <c r="U36">
        <v>4.9999999999999902</v>
      </c>
      <c r="V36">
        <v>26.97</v>
      </c>
      <c r="W36">
        <v>10.25</v>
      </c>
      <c r="X36">
        <v>0.23980000000000001</v>
      </c>
      <c r="Y36">
        <v>5.8464934545662201E-3</v>
      </c>
      <c r="Z36">
        <v>0.76019999999999999</v>
      </c>
      <c r="AA36">
        <v>1</v>
      </c>
    </row>
    <row r="37" spans="1:27" x14ac:dyDescent="0.3">
      <c r="A37" t="s">
        <v>71</v>
      </c>
      <c r="B37" s="1">
        <v>45900</v>
      </c>
      <c r="C37">
        <v>2700</v>
      </c>
      <c r="D37">
        <v>0.5</v>
      </c>
      <c r="E37">
        <v>5400</v>
      </c>
      <c r="F37">
        <v>6.8041381743977102E-3</v>
      </c>
      <c r="G37">
        <v>0.5</v>
      </c>
      <c r="H37">
        <v>0.57628625709483094</v>
      </c>
      <c r="I37">
        <v>10</v>
      </c>
      <c r="J37">
        <v>20.51</v>
      </c>
      <c r="K37">
        <v>20.51</v>
      </c>
      <c r="L37">
        <v>0.5</v>
      </c>
      <c r="M37">
        <v>6.8041381743977102E-3</v>
      </c>
      <c r="N37">
        <v>0.5</v>
      </c>
      <c r="O37">
        <v>275.19333503296298</v>
      </c>
      <c r="P37">
        <v>0.101923457419616</v>
      </c>
      <c r="Q37">
        <v>2700</v>
      </c>
      <c r="R37">
        <v>5.82253178504587E-3</v>
      </c>
      <c r="S37">
        <v>0.25</v>
      </c>
      <c r="T37">
        <v>0.37916481787399797</v>
      </c>
      <c r="U37">
        <v>4.9999999999999902</v>
      </c>
      <c r="V37">
        <v>26.97</v>
      </c>
      <c r="W37">
        <v>10.25</v>
      </c>
      <c r="X37">
        <v>0.24060000000000001</v>
      </c>
      <c r="Y37">
        <v>5.8219377581059098E-3</v>
      </c>
      <c r="Z37">
        <v>0.75939999999999996</v>
      </c>
      <c r="AA37">
        <v>1</v>
      </c>
    </row>
    <row r="38" spans="1:27" x14ac:dyDescent="0.3">
      <c r="A38" t="s">
        <v>72</v>
      </c>
      <c r="B38" s="1">
        <v>45900</v>
      </c>
      <c r="C38">
        <v>2600</v>
      </c>
      <c r="D38">
        <v>0.5</v>
      </c>
      <c r="E38">
        <v>5200</v>
      </c>
      <c r="F38">
        <v>6.9337524528153604E-3</v>
      </c>
      <c r="G38">
        <v>0.5</v>
      </c>
      <c r="H38">
        <v>0.56054017809572798</v>
      </c>
      <c r="I38">
        <v>10</v>
      </c>
      <c r="J38">
        <v>20.51</v>
      </c>
      <c r="K38">
        <v>20.51</v>
      </c>
      <c r="L38">
        <v>0.5</v>
      </c>
      <c r="M38">
        <v>6.9337524528153604E-3</v>
      </c>
      <c r="N38">
        <v>0.5</v>
      </c>
      <c r="O38">
        <v>250.289827887549</v>
      </c>
      <c r="P38">
        <v>9.6265318418288004E-2</v>
      </c>
      <c r="Q38">
        <v>2600</v>
      </c>
      <c r="R38">
        <v>5.7845386388768296E-3</v>
      </c>
      <c r="S38">
        <v>0.25</v>
      </c>
      <c r="T38">
        <v>0.35768618193495699</v>
      </c>
      <c r="U38">
        <v>4.9999999999999902</v>
      </c>
      <c r="V38">
        <v>26.97</v>
      </c>
      <c r="W38">
        <v>10.25</v>
      </c>
      <c r="X38">
        <v>0.24149999999999999</v>
      </c>
      <c r="Y38">
        <v>5.7854695308425597E-3</v>
      </c>
      <c r="Z38">
        <v>0.75849999999999995</v>
      </c>
      <c r="AA38">
        <v>1</v>
      </c>
    </row>
    <row r="39" spans="1:27" x14ac:dyDescent="0.3">
      <c r="A39" t="s">
        <v>73</v>
      </c>
      <c r="B39" s="1">
        <v>45900</v>
      </c>
      <c r="C39">
        <v>2500</v>
      </c>
      <c r="D39">
        <v>0.5</v>
      </c>
      <c r="E39">
        <v>5000</v>
      </c>
      <c r="F39">
        <v>7.0710678118654701E-3</v>
      </c>
      <c r="G39">
        <v>0.5</v>
      </c>
      <c r="H39">
        <v>0.54367866439568802</v>
      </c>
      <c r="I39">
        <v>10</v>
      </c>
      <c r="J39">
        <v>20.51</v>
      </c>
      <c r="K39">
        <v>20.51</v>
      </c>
      <c r="L39">
        <v>0.5</v>
      </c>
      <c r="M39">
        <v>7.0710678118654701E-3</v>
      </c>
      <c r="N39">
        <v>0.5</v>
      </c>
      <c r="O39">
        <v>225.438077429901</v>
      </c>
      <c r="P39">
        <v>9.0175230971960604E-2</v>
      </c>
      <c r="Q39">
        <v>2500</v>
      </c>
      <c r="R39">
        <v>5.7286528500551997E-3</v>
      </c>
      <c r="S39">
        <v>0.25</v>
      </c>
      <c r="T39">
        <v>0.33512362770896198</v>
      </c>
      <c r="U39">
        <v>4.9999999999999902</v>
      </c>
      <c r="V39">
        <v>26.97</v>
      </c>
      <c r="W39">
        <v>10.25</v>
      </c>
      <c r="X39">
        <v>0.2424</v>
      </c>
      <c r="Y39">
        <v>5.7293615700180697E-3</v>
      </c>
      <c r="Z39">
        <v>0.75760000000000005</v>
      </c>
      <c r="AA39">
        <v>1</v>
      </c>
    </row>
    <row r="40" spans="1:27" x14ac:dyDescent="0.3">
      <c r="A40" t="s">
        <v>74</v>
      </c>
      <c r="B40" s="1">
        <v>45900</v>
      </c>
      <c r="C40">
        <v>2400</v>
      </c>
      <c r="D40">
        <v>0.5</v>
      </c>
      <c r="E40">
        <v>4800</v>
      </c>
      <c r="F40">
        <v>7.2168783648703201E-3</v>
      </c>
      <c r="G40">
        <v>0.5</v>
      </c>
      <c r="H40">
        <v>0.52560157476655101</v>
      </c>
      <c r="I40">
        <v>10</v>
      </c>
      <c r="J40">
        <v>20.51</v>
      </c>
      <c r="K40">
        <v>20.51</v>
      </c>
      <c r="L40">
        <v>0.5</v>
      </c>
      <c r="M40">
        <v>7.2168783648703201E-3</v>
      </c>
      <c r="N40">
        <v>0.5</v>
      </c>
      <c r="O40">
        <v>200.66758604887499</v>
      </c>
      <c r="P40">
        <v>8.3611494187031496E-2</v>
      </c>
      <c r="Q40">
        <v>2400</v>
      </c>
      <c r="R40">
        <v>5.6502438084137701E-3</v>
      </c>
      <c r="S40">
        <v>0.25</v>
      </c>
      <c r="T40">
        <v>0.31149642606261302</v>
      </c>
      <c r="U40">
        <v>4.9999999999999902</v>
      </c>
      <c r="V40">
        <v>26.97</v>
      </c>
      <c r="W40">
        <v>10.25</v>
      </c>
      <c r="X40">
        <v>0.24340000000000001</v>
      </c>
      <c r="Y40">
        <v>5.649890854403E-3</v>
      </c>
      <c r="Z40">
        <v>0.75660000000000005</v>
      </c>
      <c r="AA40">
        <v>1</v>
      </c>
    </row>
    <row r="41" spans="1:27" x14ac:dyDescent="0.3">
      <c r="A41" t="s">
        <v>75</v>
      </c>
      <c r="B41" s="1">
        <v>45900</v>
      </c>
      <c r="C41">
        <v>2300</v>
      </c>
      <c r="D41">
        <v>0.5</v>
      </c>
      <c r="E41">
        <v>4600</v>
      </c>
      <c r="F41">
        <v>7.3720978077448504E-3</v>
      </c>
      <c r="G41">
        <v>0.5</v>
      </c>
      <c r="H41">
        <v>0.506202256778568</v>
      </c>
      <c r="I41">
        <v>10</v>
      </c>
      <c r="J41">
        <v>20.51</v>
      </c>
      <c r="K41">
        <v>20.51</v>
      </c>
      <c r="L41">
        <v>0.5</v>
      </c>
      <c r="M41">
        <v>7.3720978077448504E-3</v>
      </c>
      <c r="N41">
        <v>0.5</v>
      </c>
      <c r="O41">
        <v>176.02547827208701</v>
      </c>
      <c r="P41">
        <v>7.6532816640037998E-2</v>
      </c>
      <c r="Q41">
        <v>2300</v>
      </c>
      <c r="R41">
        <v>5.5433291134158397E-3</v>
      </c>
      <c r="S41">
        <v>0.25</v>
      </c>
      <c r="T41">
        <v>0.286858036940835</v>
      </c>
      <c r="U41">
        <v>4.9999999999999902</v>
      </c>
      <c r="V41">
        <v>26.97</v>
      </c>
      <c r="W41">
        <v>10.25</v>
      </c>
      <c r="X41">
        <v>0.24440000000000001</v>
      </c>
      <c r="Y41">
        <v>5.5422389919127599E-3</v>
      </c>
      <c r="Z41">
        <v>0.75560000000000005</v>
      </c>
      <c r="AA41">
        <v>1</v>
      </c>
    </row>
    <row r="42" spans="1:27" x14ac:dyDescent="0.3">
      <c r="A42" t="s">
        <v>76</v>
      </c>
      <c r="B42" s="1">
        <v>45900</v>
      </c>
      <c r="C42">
        <v>2200</v>
      </c>
      <c r="D42">
        <v>0.5</v>
      </c>
      <c r="E42">
        <v>4400</v>
      </c>
      <c r="F42">
        <v>7.5377836144440904E-3</v>
      </c>
      <c r="G42">
        <v>0.5</v>
      </c>
      <c r="H42">
        <v>0.48536903976435403</v>
      </c>
      <c r="I42">
        <v>10</v>
      </c>
      <c r="J42">
        <v>20.51</v>
      </c>
      <c r="K42">
        <v>20.51</v>
      </c>
      <c r="L42">
        <v>0.5</v>
      </c>
      <c r="M42">
        <v>7.5377836144440904E-3</v>
      </c>
      <c r="N42">
        <v>0.5</v>
      </c>
      <c r="O42">
        <v>151.58725788471301</v>
      </c>
      <c r="P42">
        <v>6.8903299038505894E-2</v>
      </c>
      <c r="Q42">
        <v>2200</v>
      </c>
      <c r="R42">
        <v>5.4001529616431896E-3</v>
      </c>
      <c r="S42">
        <v>0.25</v>
      </c>
      <c r="T42">
        <v>0.26130650865142901</v>
      </c>
      <c r="U42">
        <v>4.9999999999999902</v>
      </c>
      <c r="V42">
        <v>26.97</v>
      </c>
      <c r="W42">
        <v>10.25</v>
      </c>
      <c r="X42">
        <v>0.24540000000000001</v>
      </c>
      <c r="Y42">
        <v>5.4000332490558803E-3</v>
      </c>
      <c r="Z42">
        <v>0.75460000000000005</v>
      </c>
      <c r="AA42">
        <v>1</v>
      </c>
    </row>
    <row r="43" spans="1:27" x14ac:dyDescent="0.3">
      <c r="A43" t="s">
        <v>77</v>
      </c>
      <c r="B43" s="1">
        <v>45900</v>
      </c>
      <c r="C43">
        <v>2100</v>
      </c>
      <c r="D43">
        <v>0.5</v>
      </c>
      <c r="E43">
        <v>4200</v>
      </c>
      <c r="F43">
        <v>7.7151674981045899E-3</v>
      </c>
      <c r="G43">
        <v>0.5</v>
      </c>
      <c r="H43">
        <v>0.462987884041973</v>
      </c>
      <c r="I43">
        <v>10</v>
      </c>
      <c r="J43">
        <v>20.51</v>
      </c>
      <c r="K43">
        <v>20.51</v>
      </c>
      <c r="L43">
        <v>0.5</v>
      </c>
      <c r="M43">
        <v>7.7151674981045899E-3</v>
      </c>
      <c r="N43">
        <v>0.5</v>
      </c>
      <c r="O43">
        <v>127.473932107431</v>
      </c>
      <c r="P43">
        <v>6.0701872432110199E-2</v>
      </c>
      <c r="Q43">
        <v>2100</v>
      </c>
      <c r="R43">
        <v>5.2106646644552801E-3</v>
      </c>
      <c r="S43">
        <v>0.25</v>
      </c>
      <c r="T43">
        <v>0.23499614622848899</v>
      </c>
      <c r="U43">
        <v>4.9999999999999902</v>
      </c>
      <c r="V43">
        <v>26.97</v>
      </c>
      <c r="W43">
        <v>10.25</v>
      </c>
      <c r="X43">
        <v>0.24640000000000001</v>
      </c>
      <c r="Y43">
        <v>5.2105894922880704E-3</v>
      </c>
      <c r="Z43">
        <v>0.75360000000000005</v>
      </c>
      <c r="AA43">
        <v>1</v>
      </c>
    </row>
    <row r="44" spans="1:27" x14ac:dyDescent="0.3">
      <c r="A44" t="s">
        <v>78</v>
      </c>
      <c r="B44" s="1">
        <v>45900</v>
      </c>
      <c r="C44">
        <v>2000</v>
      </c>
      <c r="D44">
        <v>0.5</v>
      </c>
      <c r="E44">
        <v>4000</v>
      </c>
      <c r="F44">
        <v>7.9056941504209392E-3</v>
      </c>
      <c r="G44">
        <v>0.5</v>
      </c>
      <c r="H44">
        <v>0.43894670448262801</v>
      </c>
      <c r="I44">
        <v>10</v>
      </c>
      <c r="J44">
        <v>20.51</v>
      </c>
      <c r="K44">
        <v>20.51</v>
      </c>
      <c r="L44">
        <v>0.5</v>
      </c>
      <c r="M44">
        <v>7.9056941504209392E-3</v>
      </c>
      <c r="N44">
        <v>0.5</v>
      </c>
      <c r="O44">
        <v>103.878645226709</v>
      </c>
      <c r="P44">
        <v>5.1939322613354801E-2</v>
      </c>
      <c r="Q44">
        <v>2000</v>
      </c>
      <c r="R44">
        <v>4.9619365866474304E-3</v>
      </c>
      <c r="S44">
        <v>0.25</v>
      </c>
      <c r="T44">
        <v>0.20814970557651599</v>
      </c>
      <c r="U44">
        <v>4.9999999999999902</v>
      </c>
      <c r="V44">
        <v>26.97</v>
      </c>
      <c r="W44">
        <v>10.25</v>
      </c>
      <c r="X44">
        <v>0.24729999999999999</v>
      </c>
      <c r="Y44">
        <v>4.96016078368433E-3</v>
      </c>
      <c r="Z44">
        <v>0.75270000000000004</v>
      </c>
      <c r="AA44">
        <v>1</v>
      </c>
    </row>
    <row r="45" spans="1:27" x14ac:dyDescent="0.3">
      <c r="A45" t="s">
        <v>79</v>
      </c>
      <c r="B45" s="1">
        <v>45900</v>
      </c>
      <c r="C45">
        <v>1900</v>
      </c>
      <c r="D45">
        <v>0.5</v>
      </c>
      <c r="E45">
        <v>3800</v>
      </c>
      <c r="F45">
        <v>8.1110710565381206E-3</v>
      </c>
      <c r="G45">
        <v>0.5</v>
      </c>
      <c r="H45">
        <v>0.41314207001243303</v>
      </c>
      <c r="I45">
        <v>10</v>
      </c>
      <c r="J45">
        <v>20.51</v>
      </c>
      <c r="K45">
        <v>20.51</v>
      </c>
      <c r="L45">
        <v>0.5</v>
      </c>
      <c r="M45">
        <v>8.1110710565381206E-3</v>
      </c>
      <c r="N45">
        <v>0.5</v>
      </c>
      <c r="O45">
        <v>81.106303569697502</v>
      </c>
      <c r="P45">
        <v>4.2687528194577599E-2</v>
      </c>
      <c r="Q45">
        <v>1900</v>
      </c>
      <c r="R45">
        <v>4.6376776817267798E-3</v>
      </c>
      <c r="S45">
        <v>0.25</v>
      </c>
      <c r="T45">
        <v>0.18106971769717001</v>
      </c>
      <c r="U45">
        <v>4.9999999999999902</v>
      </c>
      <c r="V45">
        <v>26.97</v>
      </c>
      <c r="W45">
        <v>10.25</v>
      </c>
      <c r="X45">
        <v>0.24809999999999999</v>
      </c>
      <c r="Y45">
        <v>4.6383249018085004E-3</v>
      </c>
      <c r="Z45">
        <v>0.75190000000000001</v>
      </c>
      <c r="AA45">
        <v>1</v>
      </c>
    </row>
    <row r="46" spans="1:27" x14ac:dyDescent="0.3">
      <c r="A46" t="s">
        <v>80</v>
      </c>
      <c r="B46" s="1">
        <v>45900</v>
      </c>
      <c r="C46">
        <v>1800</v>
      </c>
      <c r="D46">
        <v>0.5</v>
      </c>
      <c r="E46">
        <v>3600</v>
      </c>
      <c r="F46">
        <v>8.3333333333333297E-3</v>
      </c>
      <c r="G46">
        <v>0.5</v>
      </c>
      <c r="H46">
        <v>0.38548920355309602</v>
      </c>
      <c r="I46">
        <v>10</v>
      </c>
      <c r="J46">
        <v>20.51</v>
      </c>
      <c r="K46">
        <v>20.51</v>
      </c>
      <c r="L46">
        <v>0.5</v>
      </c>
      <c r="M46">
        <v>8.3333333333333297E-3</v>
      </c>
      <c r="N46">
        <v>0.5</v>
      </c>
      <c r="O46">
        <v>59.627565651173903</v>
      </c>
      <c r="P46">
        <v>3.3126425361763301E-2</v>
      </c>
      <c r="Q46">
        <v>1800</v>
      </c>
      <c r="R46">
        <v>4.2182846240118596E-3</v>
      </c>
      <c r="S46">
        <v>0.25</v>
      </c>
      <c r="T46">
        <v>0.15414665902786401</v>
      </c>
      <c r="U46">
        <v>4.9999999999999902</v>
      </c>
      <c r="V46">
        <v>26.97</v>
      </c>
      <c r="W46">
        <v>10.25</v>
      </c>
      <c r="X46">
        <v>0.24879999999999999</v>
      </c>
      <c r="Y46">
        <v>4.2166594202836197E-3</v>
      </c>
      <c r="Z46">
        <v>0.75119999999999998</v>
      </c>
      <c r="AA46">
        <v>1</v>
      </c>
    </row>
    <row r="47" spans="1:27" x14ac:dyDescent="0.3">
      <c r="A47" t="s">
        <v>81</v>
      </c>
      <c r="B47" s="1">
        <v>45900</v>
      </c>
      <c r="C47">
        <v>1700</v>
      </c>
      <c r="D47">
        <v>0.5</v>
      </c>
      <c r="E47">
        <v>3400</v>
      </c>
      <c r="F47">
        <v>8.5749292571254392E-3</v>
      </c>
      <c r="G47">
        <v>0.5</v>
      </c>
      <c r="H47">
        <v>0.355936454049953</v>
      </c>
      <c r="I47">
        <v>10</v>
      </c>
      <c r="J47">
        <v>20.51</v>
      </c>
      <c r="K47">
        <v>20.51</v>
      </c>
      <c r="L47">
        <v>0.5</v>
      </c>
      <c r="M47">
        <v>8.5749292571254392E-3</v>
      </c>
      <c r="N47">
        <v>0.5</v>
      </c>
      <c r="O47">
        <v>40.138896766406504</v>
      </c>
      <c r="P47">
        <v>2.3611115744945E-2</v>
      </c>
      <c r="Q47">
        <v>1700</v>
      </c>
      <c r="R47">
        <v>3.6825207924994102E-3</v>
      </c>
      <c r="S47">
        <v>0.25</v>
      </c>
      <c r="T47">
        <v>0.12786060255463899</v>
      </c>
      <c r="U47">
        <v>4.9999999999999902</v>
      </c>
      <c r="V47">
        <v>26.97</v>
      </c>
      <c r="W47">
        <v>10.25</v>
      </c>
      <c r="X47">
        <v>0.24929999999999999</v>
      </c>
      <c r="Y47">
        <v>3.6816748107029599E-3</v>
      </c>
      <c r="Z47">
        <v>0.75070000000000003</v>
      </c>
      <c r="AA47">
        <v>1</v>
      </c>
    </row>
    <row r="48" spans="1:27" x14ac:dyDescent="0.3">
      <c r="A48" t="s">
        <v>82</v>
      </c>
      <c r="B48" s="1">
        <v>45900</v>
      </c>
      <c r="C48">
        <v>1600</v>
      </c>
      <c r="D48">
        <v>0.5</v>
      </c>
      <c r="E48">
        <v>3200</v>
      </c>
      <c r="F48">
        <v>8.8388347648318405E-3</v>
      </c>
      <c r="G48">
        <v>0.5</v>
      </c>
      <c r="H48">
        <v>0.32448563763176602</v>
      </c>
      <c r="I48">
        <v>10</v>
      </c>
      <c r="J48">
        <v>20.51</v>
      </c>
      <c r="K48">
        <v>20.51</v>
      </c>
      <c r="L48">
        <v>0.5</v>
      </c>
      <c r="M48">
        <v>8.8388347648318405E-3</v>
      </c>
      <c r="N48">
        <v>0.5</v>
      </c>
      <c r="O48">
        <v>23.591955271368299</v>
      </c>
      <c r="P48">
        <v>1.47449720446052E-2</v>
      </c>
      <c r="Q48">
        <v>1600</v>
      </c>
      <c r="R48">
        <v>3.0132579797464499E-3</v>
      </c>
      <c r="S48">
        <v>0.25</v>
      </c>
      <c r="T48">
        <v>0.102771893531538</v>
      </c>
      <c r="U48">
        <v>4.9999999999999902</v>
      </c>
      <c r="V48">
        <v>26.97</v>
      </c>
      <c r="W48">
        <v>10.25</v>
      </c>
      <c r="X48">
        <v>0.24970000000000001</v>
      </c>
      <c r="Y48">
        <v>3.0087279288762499E-3</v>
      </c>
      <c r="Z48">
        <v>0.75029999999999997</v>
      </c>
      <c r="AA48">
        <v>1</v>
      </c>
    </row>
    <row r="49" spans="1:27" x14ac:dyDescent="0.3">
      <c r="A49" t="s">
        <v>83</v>
      </c>
      <c r="B49" s="1">
        <v>45900</v>
      </c>
      <c r="C49">
        <v>1500</v>
      </c>
      <c r="D49">
        <v>0.5</v>
      </c>
      <c r="E49">
        <v>3000</v>
      </c>
      <c r="F49">
        <v>9.1287092917527596E-3</v>
      </c>
      <c r="G49">
        <v>0.5</v>
      </c>
      <c r="H49">
        <v>0.29121974217525698</v>
      </c>
      <c r="I49">
        <v>10</v>
      </c>
      <c r="J49">
        <v>20.51</v>
      </c>
      <c r="K49">
        <v>20.51</v>
      </c>
      <c r="L49">
        <v>0.5</v>
      </c>
      <c r="M49">
        <v>9.1287092917527596E-3</v>
      </c>
      <c r="N49">
        <v>0.5</v>
      </c>
      <c r="O49">
        <v>11.0919552588683</v>
      </c>
      <c r="P49">
        <v>7.3946368392455797E-3</v>
      </c>
      <c r="Q49">
        <v>1500</v>
      </c>
      <c r="R49">
        <v>2.21208140074173E-3</v>
      </c>
      <c r="S49">
        <v>0.25</v>
      </c>
      <c r="T49">
        <v>7.9495675818515701E-2</v>
      </c>
      <c r="U49">
        <v>4.9999999999999902</v>
      </c>
      <c r="V49">
        <v>26.97</v>
      </c>
      <c r="W49">
        <v>10.25</v>
      </c>
      <c r="X49">
        <v>0.24990000000000001</v>
      </c>
      <c r="Y49">
        <v>2.2128774630933898E-3</v>
      </c>
      <c r="Z49">
        <v>0.75009999999999999</v>
      </c>
      <c r="AA49">
        <v>1</v>
      </c>
    </row>
    <row r="50" spans="1:27" x14ac:dyDescent="0.3">
      <c r="A50" t="s">
        <v>84</v>
      </c>
      <c r="B50" s="1">
        <v>45900</v>
      </c>
      <c r="C50">
        <v>1400</v>
      </c>
      <c r="D50">
        <v>0.5</v>
      </c>
      <c r="E50">
        <v>2800</v>
      </c>
      <c r="F50">
        <v>9.4491118252306803E-3</v>
      </c>
      <c r="G50">
        <v>0.5</v>
      </c>
      <c r="H50">
        <v>0.25633924123129698</v>
      </c>
      <c r="I50">
        <v>10</v>
      </c>
      <c r="J50">
        <v>20.51</v>
      </c>
      <c r="K50">
        <v>20.51</v>
      </c>
      <c r="L50">
        <v>0.5</v>
      </c>
      <c r="M50">
        <v>9.4491118252306803E-3</v>
      </c>
      <c r="N50">
        <v>0.5</v>
      </c>
      <c r="O50">
        <v>3.4758788112414201</v>
      </c>
      <c r="P50">
        <v>2.4827705794581599E-3</v>
      </c>
      <c r="Q50">
        <v>1400</v>
      </c>
      <c r="R50">
        <v>1.33003931996333E-3</v>
      </c>
      <c r="S50">
        <v>0.25</v>
      </c>
      <c r="T50">
        <v>5.8655335228276102E-2</v>
      </c>
      <c r="U50">
        <v>4.9999999999999902</v>
      </c>
      <c r="V50">
        <v>26.97</v>
      </c>
      <c r="W50">
        <v>10.25</v>
      </c>
      <c r="X50">
        <v>0.25</v>
      </c>
      <c r="Y50">
        <v>1.3346347815039101E-3</v>
      </c>
      <c r="Z50">
        <v>0.75</v>
      </c>
      <c r="AA50">
        <v>1</v>
      </c>
    </row>
    <row r="51" spans="1:27" x14ac:dyDescent="0.3">
      <c r="A51" t="s">
        <v>85</v>
      </c>
      <c r="B51" s="1">
        <v>45900</v>
      </c>
      <c r="C51">
        <v>1300</v>
      </c>
      <c r="D51">
        <v>0.5</v>
      </c>
      <c r="E51">
        <v>2600</v>
      </c>
      <c r="F51">
        <v>9.8058067569092005E-3</v>
      </c>
      <c r="G51">
        <v>0.5</v>
      </c>
      <c r="H51">
        <v>0.22020726206740501</v>
      </c>
      <c r="I51">
        <v>10</v>
      </c>
      <c r="J51">
        <v>20.51</v>
      </c>
      <c r="K51">
        <v>20.51</v>
      </c>
      <c r="L51">
        <v>0.5</v>
      </c>
      <c r="M51">
        <v>9.8058067569092005E-3</v>
      </c>
      <c r="N51">
        <v>0.5</v>
      </c>
      <c r="O51">
        <v>0.45089459736491</v>
      </c>
      <c r="P51">
        <v>3.4684199797300802E-4</v>
      </c>
      <c r="Q51">
        <v>1300</v>
      </c>
      <c r="R51">
        <v>5.1643876589988098E-4</v>
      </c>
      <c r="S51">
        <v>0.25</v>
      </c>
      <c r="T51">
        <v>4.0812796656481298E-2</v>
      </c>
      <c r="U51">
        <v>4.9999999999999902</v>
      </c>
      <c r="V51">
        <v>26.97</v>
      </c>
      <c r="W51">
        <v>10.25</v>
      </c>
      <c r="X51">
        <v>0.25</v>
      </c>
      <c r="Y51">
        <v>4.8031239834091298E-4</v>
      </c>
      <c r="Z51">
        <v>0.75</v>
      </c>
      <c r="AA51">
        <v>1</v>
      </c>
    </row>
    <row r="52" spans="1:27" x14ac:dyDescent="0.3">
      <c r="A52" t="s">
        <v>86</v>
      </c>
      <c r="B52" s="1">
        <v>45900</v>
      </c>
      <c r="C52">
        <v>1200</v>
      </c>
      <c r="D52">
        <v>0.5</v>
      </c>
      <c r="E52">
        <v>2400</v>
      </c>
      <c r="F52">
        <v>1.02062072615965E-2</v>
      </c>
      <c r="G52">
        <v>0.5</v>
      </c>
      <c r="H52">
        <v>0.18340139558956101</v>
      </c>
      <c r="I52">
        <v>10</v>
      </c>
      <c r="J52">
        <v>20.51</v>
      </c>
      <c r="K52">
        <v>20.51</v>
      </c>
      <c r="L52">
        <v>0.5</v>
      </c>
      <c r="M52">
        <v>1.02062072615965E-2</v>
      </c>
      <c r="N52">
        <v>0.5</v>
      </c>
      <c r="O52">
        <v>2.8451122828065901E-3</v>
      </c>
      <c r="P52">
        <v>2.37092690233882E-6</v>
      </c>
      <c r="Q52">
        <v>1200</v>
      </c>
      <c r="R52">
        <v>4.4449608931954699E-5</v>
      </c>
      <c r="S52">
        <v>0.25</v>
      </c>
      <c r="T52">
        <v>2.6379236717747501E-2</v>
      </c>
      <c r="U52">
        <v>4.9999999999999902</v>
      </c>
      <c r="V52">
        <v>26.97</v>
      </c>
      <c r="W52">
        <v>10.25</v>
      </c>
      <c r="X52">
        <v>0.25</v>
      </c>
      <c r="Y52">
        <v>0</v>
      </c>
      <c r="Z52">
        <v>0.75</v>
      </c>
      <c r="AA52">
        <v>1</v>
      </c>
    </row>
    <row r="53" spans="1:27" x14ac:dyDescent="0.3">
      <c r="A53" t="s">
        <v>87</v>
      </c>
      <c r="B53" s="1">
        <v>45900</v>
      </c>
      <c r="C53">
        <v>1100</v>
      </c>
      <c r="D53">
        <v>0.5</v>
      </c>
      <c r="E53">
        <v>2200</v>
      </c>
      <c r="F53">
        <v>1.06600358177805E-2</v>
      </c>
      <c r="G53">
        <v>0.5</v>
      </c>
      <c r="H53">
        <v>0.146764935782348</v>
      </c>
      <c r="I53">
        <v>10</v>
      </c>
      <c r="J53">
        <v>20.51</v>
      </c>
      <c r="K53">
        <v>20.51</v>
      </c>
      <c r="L53">
        <v>0.5</v>
      </c>
      <c r="M53">
        <v>1.06600358177805E-2</v>
      </c>
      <c r="N53">
        <v>0.5</v>
      </c>
      <c r="O53">
        <v>0</v>
      </c>
      <c r="P53">
        <v>0</v>
      </c>
      <c r="Q53">
        <v>1100</v>
      </c>
      <c r="R53">
        <v>0</v>
      </c>
      <c r="S53">
        <v>0.25</v>
      </c>
      <c r="T53">
        <v>1.5520351149803701E-2</v>
      </c>
      <c r="U53">
        <v>4.9999999999999902</v>
      </c>
      <c r="V53">
        <v>26.97</v>
      </c>
      <c r="W53">
        <v>10.25</v>
      </c>
      <c r="X53">
        <v>0.25</v>
      </c>
      <c r="Y53">
        <v>0</v>
      </c>
      <c r="Z53">
        <v>0.75</v>
      </c>
      <c r="AA53">
        <v>1</v>
      </c>
    </row>
    <row r="54" spans="1:27" x14ac:dyDescent="0.3">
      <c r="A54" t="s">
        <v>88</v>
      </c>
      <c r="B54" s="1">
        <v>45900</v>
      </c>
      <c r="C54">
        <v>1000</v>
      </c>
      <c r="D54">
        <v>0.5</v>
      </c>
      <c r="E54">
        <v>2000</v>
      </c>
      <c r="F54">
        <v>1.11803398874989E-2</v>
      </c>
      <c r="G54">
        <v>0.5</v>
      </c>
      <c r="H54">
        <v>0.111441429310583</v>
      </c>
      <c r="I54">
        <v>10</v>
      </c>
      <c r="J54">
        <v>20.51</v>
      </c>
      <c r="K54">
        <v>20.51</v>
      </c>
      <c r="L54">
        <v>0.5</v>
      </c>
      <c r="M54">
        <v>1.11803398874989E-2</v>
      </c>
      <c r="N54">
        <v>0.5</v>
      </c>
      <c r="O54">
        <v>0</v>
      </c>
      <c r="P54">
        <v>0</v>
      </c>
      <c r="Q54">
        <v>1000</v>
      </c>
      <c r="R54">
        <v>0</v>
      </c>
      <c r="S54">
        <v>0.25</v>
      </c>
      <c r="T54">
        <v>8.0831377268856999E-3</v>
      </c>
      <c r="U54">
        <v>4.9999999999999902</v>
      </c>
      <c r="V54">
        <v>26.97</v>
      </c>
      <c r="W54">
        <v>10.25</v>
      </c>
      <c r="X54">
        <v>0.25</v>
      </c>
      <c r="Y54">
        <v>0</v>
      </c>
      <c r="Z54">
        <v>0.75</v>
      </c>
      <c r="AA54">
        <v>1</v>
      </c>
    </row>
    <row r="55" spans="1:27" x14ac:dyDescent="0.3">
      <c r="A55" t="s">
        <v>89</v>
      </c>
      <c r="B55" s="1">
        <v>45900</v>
      </c>
      <c r="C55">
        <v>900</v>
      </c>
      <c r="D55">
        <v>0.5</v>
      </c>
      <c r="E55">
        <v>1800</v>
      </c>
      <c r="F55">
        <v>1.17851130197757E-2</v>
      </c>
      <c r="G55">
        <v>0.5</v>
      </c>
      <c r="H55">
        <v>7.88622968062163E-2</v>
      </c>
      <c r="I55">
        <v>10</v>
      </c>
      <c r="J55">
        <v>20.51</v>
      </c>
      <c r="K55">
        <v>20.51</v>
      </c>
      <c r="L55">
        <v>0.5</v>
      </c>
      <c r="M55">
        <v>1.17851130197757E-2</v>
      </c>
      <c r="N55">
        <v>0.5</v>
      </c>
      <c r="O55">
        <v>0</v>
      </c>
      <c r="P55">
        <v>0</v>
      </c>
      <c r="Q55">
        <v>900</v>
      </c>
      <c r="R55">
        <v>0</v>
      </c>
      <c r="S55">
        <v>0.25</v>
      </c>
      <c r="T55">
        <v>3.5813563567802299E-3</v>
      </c>
      <c r="U55">
        <v>4.9999999999999902</v>
      </c>
      <c r="V55">
        <v>26.97</v>
      </c>
      <c r="W55">
        <v>10.25</v>
      </c>
      <c r="X55">
        <v>0.25</v>
      </c>
      <c r="Y55">
        <v>0</v>
      </c>
      <c r="Z55">
        <v>0.75</v>
      </c>
      <c r="AA55">
        <v>1</v>
      </c>
    </row>
    <row r="56" spans="1:27" x14ac:dyDescent="0.3">
      <c r="A56" t="s">
        <v>90</v>
      </c>
      <c r="B56" s="1">
        <v>45900</v>
      </c>
      <c r="C56">
        <v>800</v>
      </c>
      <c r="D56">
        <v>0.5</v>
      </c>
      <c r="E56">
        <v>1600</v>
      </c>
      <c r="F56">
        <v>1.2500000000000001E-2</v>
      </c>
      <c r="G56">
        <v>0.5</v>
      </c>
      <c r="H56">
        <v>5.0639701668858499E-2</v>
      </c>
      <c r="I56">
        <v>10</v>
      </c>
      <c r="J56">
        <v>20.51</v>
      </c>
      <c r="K56">
        <v>20.51</v>
      </c>
      <c r="L56">
        <v>0.5</v>
      </c>
      <c r="M56">
        <v>1.2500000000000001E-2</v>
      </c>
      <c r="N56">
        <v>0.5</v>
      </c>
      <c r="O56">
        <v>0</v>
      </c>
      <c r="P56">
        <v>0</v>
      </c>
      <c r="Q56">
        <v>800</v>
      </c>
      <c r="R56">
        <v>0</v>
      </c>
      <c r="S56">
        <v>0.25</v>
      </c>
      <c r="T56">
        <v>1.2729155044876399E-3</v>
      </c>
      <c r="U56">
        <v>4.9999999999999902</v>
      </c>
      <c r="V56">
        <v>26.97</v>
      </c>
      <c r="W56">
        <v>10.25</v>
      </c>
      <c r="X56">
        <v>0.25</v>
      </c>
      <c r="Y56">
        <v>0</v>
      </c>
      <c r="Z56">
        <v>0.75</v>
      </c>
      <c r="AA56">
        <v>1</v>
      </c>
    </row>
    <row r="57" spans="1:27" x14ac:dyDescent="0.3">
      <c r="A57" t="s">
        <v>91</v>
      </c>
      <c r="B57" s="1">
        <v>45900</v>
      </c>
      <c r="C57">
        <v>700</v>
      </c>
      <c r="D57">
        <v>0.5</v>
      </c>
      <c r="E57">
        <v>1400</v>
      </c>
      <c r="F57">
        <v>1.33630620956212E-2</v>
      </c>
      <c r="G57">
        <v>0.5</v>
      </c>
      <c r="H57">
        <v>2.8305018177006602E-2</v>
      </c>
      <c r="I57">
        <v>10</v>
      </c>
      <c r="J57">
        <v>20.51</v>
      </c>
      <c r="K57">
        <v>20.51</v>
      </c>
      <c r="L57">
        <v>0.5</v>
      </c>
      <c r="M57">
        <v>1.33630620956212E-2</v>
      </c>
      <c r="N57">
        <v>0.5</v>
      </c>
      <c r="O57">
        <v>0</v>
      </c>
      <c r="P57">
        <v>0</v>
      </c>
      <c r="Q57">
        <v>700</v>
      </c>
      <c r="R57">
        <v>0</v>
      </c>
      <c r="S57">
        <v>0.25</v>
      </c>
      <c r="T57">
        <v>3.3123664848067801E-4</v>
      </c>
      <c r="U57">
        <v>4.9999999999999902</v>
      </c>
      <c r="V57">
        <v>26.97</v>
      </c>
      <c r="W57">
        <v>10.25</v>
      </c>
      <c r="X57">
        <v>0.25</v>
      </c>
      <c r="Y57">
        <v>0</v>
      </c>
      <c r="Z57">
        <v>0.75</v>
      </c>
      <c r="AA57">
        <v>1</v>
      </c>
    </row>
    <row r="58" spans="1:27" x14ac:dyDescent="0.3">
      <c r="A58" t="s">
        <v>92</v>
      </c>
      <c r="B58" s="1">
        <v>45900</v>
      </c>
      <c r="C58">
        <v>600</v>
      </c>
      <c r="D58">
        <v>0.5</v>
      </c>
      <c r="E58">
        <v>1200</v>
      </c>
      <c r="F58">
        <v>1.44337567297406E-2</v>
      </c>
      <c r="G58">
        <v>0.5</v>
      </c>
      <c r="H58">
        <v>1.2855959780664301E-2</v>
      </c>
      <c r="I58">
        <v>10</v>
      </c>
      <c r="J58">
        <v>20.51</v>
      </c>
      <c r="K58">
        <v>20.51</v>
      </c>
      <c r="L58">
        <v>0.5</v>
      </c>
      <c r="M58">
        <v>1.44337567297406E-2</v>
      </c>
      <c r="N58">
        <v>0.5</v>
      </c>
      <c r="O58">
        <v>0</v>
      </c>
      <c r="P58">
        <v>0</v>
      </c>
      <c r="Q58">
        <v>600</v>
      </c>
      <c r="R58">
        <v>0</v>
      </c>
      <c r="S58">
        <v>0.25</v>
      </c>
      <c r="T58">
        <v>5.4177131494442803E-5</v>
      </c>
      <c r="U58">
        <v>4.9999999999999902</v>
      </c>
      <c r="V58">
        <v>26.97</v>
      </c>
      <c r="W58">
        <v>10.25</v>
      </c>
      <c r="X58">
        <v>0.25</v>
      </c>
      <c r="Y58">
        <v>0</v>
      </c>
      <c r="Z58">
        <v>0.75</v>
      </c>
      <c r="AA5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Runner</vt:lpstr>
      <vt:lpstr>Sheet1</vt:lpstr>
      <vt:lpstr>Sheet2</vt:lpstr>
      <vt:lpstr>Sheet3</vt:lpstr>
      <vt:lpstr>__CsvImportTemp!ExternalData_1</vt:lpstr>
      <vt:lpstr>Sheet3!ExternalData_1</vt:lpstr>
      <vt:lpstr>OutputDataStart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2025-12-16T15:19:06Z</dcterms:created>
  <dcterms:modified xsi:type="dcterms:W3CDTF">2025-12-18T03:37:04Z</dcterms:modified>
</cp:coreProperties>
</file>